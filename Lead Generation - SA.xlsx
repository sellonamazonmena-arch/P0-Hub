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shahro\Desktop\Projects\2026\MENA\MQL Project\"/>
    </mc:Choice>
  </mc:AlternateContent>
  <xr:revisionPtr revIDLastSave="0" documentId="13_ncr:1_{4A25CB8A-4E25-49BC-B83C-9B4F28BABF0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Leads" sheetId="1" r:id="rId1"/>
    <sheet name="Scoring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I15" i="2" s="1"/>
  <c r="H14" i="2"/>
  <c r="H13" i="2"/>
  <c r="H12" i="2"/>
  <c r="H11" i="2"/>
  <c r="I12" i="2" s="1"/>
  <c r="V104" i="1"/>
  <c r="O104" i="1"/>
  <c r="N104" i="1"/>
  <c r="M104" i="1"/>
  <c r="L104" i="1"/>
  <c r="K104" i="1"/>
  <c r="J104" i="1"/>
  <c r="P104" i="1" s="1"/>
  <c r="Q104" i="1" s="1"/>
  <c r="V103" i="1"/>
  <c r="O103" i="1"/>
  <c r="N103" i="1"/>
  <c r="M103" i="1"/>
  <c r="L103" i="1"/>
  <c r="K103" i="1"/>
  <c r="J103" i="1"/>
  <c r="P103" i="1" s="1"/>
  <c r="Q103" i="1" s="1"/>
  <c r="V102" i="1"/>
  <c r="O102" i="1"/>
  <c r="N102" i="1"/>
  <c r="M102" i="1"/>
  <c r="L102" i="1"/>
  <c r="K102" i="1"/>
  <c r="J102" i="1"/>
  <c r="P102" i="1" s="1"/>
  <c r="Q102" i="1" s="1"/>
  <c r="V101" i="1"/>
  <c r="O101" i="1"/>
  <c r="N101" i="1"/>
  <c r="M101" i="1"/>
  <c r="L101" i="1"/>
  <c r="P101" i="1" s="1"/>
  <c r="Q101" i="1" s="1"/>
  <c r="K101" i="1"/>
  <c r="J101" i="1"/>
  <c r="V100" i="1"/>
  <c r="P100" i="1"/>
  <c r="Q100" i="1" s="1"/>
  <c r="O100" i="1"/>
  <c r="N100" i="1"/>
  <c r="M100" i="1"/>
  <c r="L100" i="1"/>
  <c r="K100" i="1"/>
  <c r="J100" i="1"/>
  <c r="V99" i="1"/>
  <c r="O99" i="1"/>
  <c r="N99" i="1"/>
  <c r="M99" i="1"/>
  <c r="L99" i="1"/>
  <c r="K99" i="1"/>
  <c r="P99" i="1" s="1"/>
  <c r="Q99" i="1" s="1"/>
  <c r="J99" i="1"/>
  <c r="V98" i="1"/>
  <c r="O98" i="1"/>
  <c r="N98" i="1"/>
  <c r="M98" i="1"/>
  <c r="L98" i="1"/>
  <c r="K98" i="1"/>
  <c r="P98" i="1" s="1"/>
  <c r="Q98" i="1" s="1"/>
  <c r="J98" i="1"/>
  <c r="V97" i="1"/>
  <c r="O97" i="1"/>
  <c r="N97" i="1"/>
  <c r="M97" i="1"/>
  <c r="L97" i="1"/>
  <c r="P97" i="1" s="1"/>
  <c r="Q97" i="1" s="1"/>
  <c r="K97" i="1"/>
  <c r="J97" i="1"/>
  <c r="V96" i="1"/>
  <c r="O96" i="1"/>
  <c r="N96" i="1"/>
  <c r="M96" i="1"/>
  <c r="L96" i="1"/>
  <c r="K96" i="1"/>
  <c r="J96" i="1"/>
  <c r="P96" i="1" s="1"/>
  <c r="Q96" i="1" s="1"/>
  <c r="V95" i="1"/>
  <c r="P95" i="1"/>
  <c r="Q95" i="1" s="1"/>
  <c r="O95" i="1"/>
  <c r="N95" i="1"/>
  <c r="M95" i="1"/>
  <c r="L95" i="1"/>
  <c r="K95" i="1"/>
  <c r="J95" i="1"/>
  <c r="V94" i="1"/>
  <c r="O94" i="1"/>
  <c r="N94" i="1"/>
  <c r="M94" i="1"/>
  <c r="L94" i="1"/>
  <c r="K94" i="1"/>
  <c r="P94" i="1" s="1"/>
  <c r="Q94" i="1" s="1"/>
  <c r="J94" i="1"/>
  <c r="V93" i="1"/>
  <c r="O93" i="1"/>
  <c r="N93" i="1"/>
  <c r="M93" i="1"/>
  <c r="L93" i="1"/>
  <c r="K93" i="1"/>
  <c r="J93" i="1"/>
  <c r="P93" i="1" s="1"/>
  <c r="Q93" i="1" s="1"/>
  <c r="V92" i="1"/>
  <c r="O92" i="1"/>
  <c r="P92" i="1" s="1"/>
  <c r="Q92" i="1" s="1"/>
  <c r="N92" i="1"/>
  <c r="M92" i="1"/>
  <c r="L92" i="1"/>
  <c r="K92" i="1"/>
  <c r="J92" i="1"/>
  <c r="V91" i="1"/>
  <c r="O91" i="1"/>
  <c r="N91" i="1"/>
  <c r="M91" i="1"/>
  <c r="L91" i="1"/>
  <c r="K91" i="1"/>
  <c r="J91" i="1"/>
  <c r="P91" i="1" s="1"/>
  <c r="Q91" i="1" s="1"/>
  <c r="V90" i="1"/>
  <c r="O90" i="1"/>
  <c r="N90" i="1"/>
  <c r="M90" i="1"/>
  <c r="L90" i="1"/>
  <c r="K90" i="1"/>
  <c r="J90" i="1"/>
  <c r="P90" i="1" s="1"/>
  <c r="Q90" i="1" s="1"/>
  <c r="V89" i="1"/>
  <c r="O89" i="1"/>
  <c r="N89" i="1"/>
  <c r="P89" i="1" s="1"/>
  <c r="Q89" i="1" s="1"/>
  <c r="M89" i="1"/>
  <c r="L89" i="1"/>
  <c r="K89" i="1"/>
  <c r="J89" i="1"/>
  <c r="V88" i="1"/>
  <c r="O88" i="1"/>
  <c r="N88" i="1"/>
  <c r="M88" i="1"/>
  <c r="L88" i="1"/>
  <c r="K88" i="1"/>
  <c r="J88" i="1"/>
  <c r="P88" i="1" s="1"/>
  <c r="Q88" i="1" s="1"/>
  <c r="V87" i="1"/>
  <c r="O87" i="1"/>
  <c r="N87" i="1"/>
  <c r="M87" i="1"/>
  <c r="L87" i="1"/>
  <c r="K87" i="1"/>
  <c r="J87" i="1"/>
  <c r="P87" i="1" s="1"/>
  <c r="Q87" i="1" s="1"/>
  <c r="V86" i="1"/>
  <c r="P86" i="1"/>
  <c r="Q86" i="1" s="1"/>
  <c r="O86" i="1"/>
  <c r="N86" i="1"/>
  <c r="M86" i="1"/>
  <c r="L86" i="1"/>
  <c r="K86" i="1"/>
  <c r="J86" i="1"/>
  <c r="V85" i="1"/>
  <c r="O85" i="1"/>
  <c r="N85" i="1"/>
  <c r="M85" i="1"/>
  <c r="L85" i="1"/>
  <c r="K85" i="1"/>
  <c r="P85" i="1" s="1"/>
  <c r="Q85" i="1" s="1"/>
  <c r="J85" i="1"/>
  <c r="V84" i="1"/>
  <c r="O84" i="1"/>
  <c r="N84" i="1"/>
  <c r="M84" i="1"/>
  <c r="L84" i="1"/>
  <c r="K84" i="1"/>
  <c r="P84" i="1" s="1"/>
  <c r="Q84" i="1" s="1"/>
  <c r="J84" i="1"/>
  <c r="V83" i="1"/>
  <c r="O83" i="1"/>
  <c r="N83" i="1"/>
  <c r="M83" i="1"/>
  <c r="L83" i="1"/>
  <c r="P83" i="1" s="1"/>
  <c r="Q83" i="1" s="1"/>
  <c r="K83" i="1"/>
  <c r="J83" i="1"/>
  <c r="V82" i="1"/>
  <c r="O82" i="1"/>
  <c r="N82" i="1"/>
  <c r="M82" i="1"/>
  <c r="L82" i="1"/>
  <c r="K82" i="1"/>
  <c r="J82" i="1"/>
  <c r="P82" i="1" s="1"/>
  <c r="Q82" i="1" s="1"/>
  <c r="V81" i="1"/>
  <c r="P81" i="1"/>
  <c r="Q81" i="1" s="1"/>
  <c r="O81" i="1"/>
  <c r="N81" i="1"/>
  <c r="M81" i="1"/>
  <c r="L81" i="1"/>
  <c r="K81" i="1"/>
  <c r="J81" i="1"/>
  <c r="V80" i="1"/>
  <c r="O80" i="1"/>
  <c r="N80" i="1"/>
  <c r="M80" i="1"/>
  <c r="L80" i="1"/>
  <c r="K80" i="1"/>
  <c r="P80" i="1" s="1"/>
  <c r="Q80" i="1" s="1"/>
  <c r="J80" i="1"/>
  <c r="V79" i="1"/>
  <c r="O79" i="1"/>
  <c r="N79" i="1"/>
  <c r="M79" i="1"/>
  <c r="L79" i="1"/>
  <c r="K79" i="1"/>
  <c r="J79" i="1"/>
  <c r="P79" i="1" s="1"/>
  <c r="Q79" i="1" s="1"/>
  <c r="V78" i="1"/>
  <c r="O78" i="1"/>
  <c r="P78" i="1" s="1"/>
  <c r="Q78" i="1" s="1"/>
  <c r="N78" i="1"/>
  <c r="M78" i="1"/>
  <c r="L78" i="1"/>
  <c r="K78" i="1"/>
  <c r="J78" i="1"/>
  <c r="V77" i="1"/>
  <c r="O77" i="1"/>
  <c r="N77" i="1"/>
  <c r="M77" i="1"/>
  <c r="L77" i="1"/>
  <c r="K77" i="1"/>
  <c r="J77" i="1"/>
  <c r="P77" i="1" s="1"/>
  <c r="Q77" i="1" s="1"/>
  <c r="V76" i="1"/>
  <c r="O76" i="1"/>
  <c r="N76" i="1"/>
  <c r="M76" i="1"/>
  <c r="L76" i="1"/>
  <c r="K76" i="1"/>
  <c r="J76" i="1"/>
  <c r="P76" i="1" s="1"/>
  <c r="Q76" i="1" s="1"/>
  <c r="V75" i="1"/>
  <c r="O75" i="1"/>
  <c r="N75" i="1"/>
  <c r="P75" i="1" s="1"/>
  <c r="Q75" i="1" s="1"/>
  <c r="M75" i="1"/>
  <c r="L75" i="1"/>
  <c r="K75" i="1"/>
  <c r="J75" i="1"/>
  <c r="V74" i="1"/>
  <c r="O74" i="1"/>
  <c r="N74" i="1"/>
  <c r="M74" i="1"/>
  <c r="L74" i="1"/>
  <c r="K74" i="1"/>
  <c r="J74" i="1"/>
  <c r="P74" i="1" s="1"/>
  <c r="Q74" i="1" s="1"/>
  <c r="V73" i="1"/>
  <c r="O73" i="1"/>
  <c r="N73" i="1"/>
  <c r="M73" i="1"/>
  <c r="L73" i="1"/>
  <c r="K73" i="1"/>
  <c r="J73" i="1"/>
  <c r="P73" i="1" s="1"/>
  <c r="Q73" i="1" s="1"/>
  <c r="V72" i="1"/>
  <c r="P72" i="1"/>
  <c r="Q72" i="1" s="1"/>
  <c r="O72" i="1"/>
  <c r="N72" i="1"/>
  <c r="M72" i="1"/>
  <c r="L72" i="1"/>
  <c r="K72" i="1"/>
  <c r="J72" i="1"/>
  <c r="V71" i="1"/>
  <c r="O71" i="1"/>
  <c r="N71" i="1"/>
  <c r="M71" i="1"/>
  <c r="L71" i="1"/>
  <c r="K71" i="1"/>
  <c r="P71" i="1" s="1"/>
  <c r="Q71" i="1" s="1"/>
  <c r="J71" i="1"/>
  <c r="V70" i="1"/>
  <c r="O70" i="1"/>
  <c r="N70" i="1"/>
  <c r="M70" i="1"/>
  <c r="L70" i="1"/>
  <c r="K70" i="1"/>
  <c r="P70" i="1" s="1"/>
  <c r="Q70" i="1" s="1"/>
  <c r="J70" i="1"/>
  <c r="V69" i="1"/>
  <c r="O69" i="1"/>
  <c r="N69" i="1"/>
  <c r="M69" i="1"/>
  <c r="L69" i="1"/>
  <c r="P69" i="1" s="1"/>
  <c r="Q69" i="1" s="1"/>
  <c r="K69" i="1"/>
  <c r="J69" i="1"/>
  <c r="V68" i="1"/>
  <c r="O68" i="1"/>
  <c r="N68" i="1"/>
  <c r="M68" i="1"/>
  <c r="L68" i="1"/>
  <c r="K68" i="1"/>
  <c r="J68" i="1"/>
  <c r="P68" i="1" s="1"/>
  <c r="Q68" i="1" s="1"/>
  <c r="V67" i="1"/>
  <c r="P67" i="1"/>
  <c r="Q67" i="1" s="1"/>
  <c r="O67" i="1"/>
  <c r="N67" i="1"/>
  <c r="M67" i="1"/>
  <c r="L67" i="1"/>
  <c r="K67" i="1"/>
  <c r="J67" i="1"/>
  <c r="V66" i="1"/>
  <c r="O66" i="1"/>
  <c r="N66" i="1"/>
  <c r="M66" i="1"/>
  <c r="L66" i="1"/>
  <c r="K66" i="1"/>
  <c r="P66" i="1" s="1"/>
  <c r="Q66" i="1" s="1"/>
  <c r="J66" i="1"/>
  <c r="V65" i="1"/>
  <c r="O65" i="1"/>
  <c r="N65" i="1"/>
  <c r="M65" i="1"/>
  <c r="L65" i="1"/>
  <c r="K65" i="1"/>
  <c r="J65" i="1"/>
  <c r="P65" i="1" s="1"/>
  <c r="Q65" i="1" s="1"/>
  <c r="V64" i="1"/>
  <c r="O64" i="1"/>
  <c r="P64" i="1" s="1"/>
  <c r="Q64" i="1" s="1"/>
  <c r="N64" i="1"/>
  <c r="M64" i="1"/>
  <c r="L64" i="1"/>
  <c r="K64" i="1"/>
  <c r="J64" i="1"/>
  <c r="V63" i="1"/>
  <c r="O63" i="1"/>
  <c r="N63" i="1"/>
  <c r="M63" i="1"/>
  <c r="L63" i="1"/>
  <c r="K63" i="1"/>
  <c r="J63" i="1"/>
  <c r="P63" i="1" s="1"/>
  <c r="Q63" i="1" s="1"/>
  <c r="V62" i="1"/>
  <c r="O62" i="1"/>
  <c r="N62" i="1"/>
  <c r="M62" i="1"/>
  <c r="L62" i="1"/>
  <c r="K62" i="1"/>
  <c r="J62" i="1"/>
  <c r="P62" i="1" s="1"/>
  <c r="Q62" i="1" s="1"/>
  <c r="V61" i="1"/>
  <c r="O61" i="1"/>
  <c r="N61" i="1"/>
  <c r="P61" i="1" s="1"/>
  <c r="Q61" i="1" s="1"/>
  <c r="M61" i="1"/>
  <c r="L61" i="1"/>
  <c r="K61" i="1"/>
  <c r="J61" i="1"/>
  <c r="V60" i="1"/>
  <c r="O60" i="1"/>
  <c r="N60" i="1"/>
  <c r="M60" i="1"/>
  <c r="L60" i="1"/>
  <c r="K60" i="1"/>
  <c r="J60" i="1"/>
  <c r="P60" i="1" s="1"/>
  <c r="Q60" i="1" s="1"/>
  <c r="V59" i="1"/>
  <c r="O59" i="1"/>
  <c r="N59" i="1"/>
  <c r="M59" i="1"/>
  <c r="L59" i="1"/>
  <c r="K59" i="1"/>
  <c r="J59" i="1"/>
  <c r="P59" i="1" s="1"/>
  <c r="Q59" i="1" s="1"/>
  <c r="V58" i="1"/>
  <c r="P58" i="1"/>
  <c r="Q58" i="1" s="1"/>
  <c r="O58" i="1"/>
  <c r="N58" i="1"/>
  <c r="M58" i="1"/>
  <c r="L58" i="1"/>
  <c r="K58" i="1"/>
  <c r="J58" i="1"/>
  <c r="V57" i="1"/>
  <c r="O57" i="1"/>
  <c r="N57" i="1"/>
  <c r="M57" i="1"/>
  <c r="L57" i="1"/>
  <c r="K57" i="1"/>
  <c r="P57" i="1" s="1"/>
  <c r="Q57" i="1" s="1"/>
  <c r="J57" i="1"/>
  <c r="V56" i="1"/>
  <c r="O56" i="1"/>
  <c r="N56" i="1"/>
  <c r="M56" i="1"/>
  <c r="L56" i="1"/>
  <c r="K56" i="1"/>
  <c r="P56" i="1" s="1"/>
  <c r="Q56" i="1" s="1"/>
  <c r="J56" i="1"/>
  <c r="V55" i="1"/>
  <c r="O55" i="1"/>
  <c r="N55" i="1"/>
  <c r="M55" i="1"/>
  <c r="L55" i="1"/>
  <c r="P55" i="1" s="1"/>
  <c r="Q55" i="1" s="1"/>
  <c r="K55" i="1"/>
  <c r="J55" i="1"/>
  <c r="V54" i="1"/>
  <c r="O54" i="1"/>
  <c r="N54" i="1"/>
  <c r="M54" i="1"/>
  <c r="L54" i="1"/>
  <c r="K54" i="1"/>
  <c r="J54" i="1"/>
  <c r="P54" i="1" s="1"/>
  <c r="Q54" i="1" s="1"/>
  <c r="V53" i="1"/>
  <c r="P53" i="1"/>
  <c r="Q53" i="1" s="1"/>
  <c r="O53" i="1"/>
  <c r="N53" i="1"/>
  <c r="M53" i="1"/>
  <c r="L53" i="1"/>
  <c r="K53" i="1"/>
  <c r="J53" i="1"/>
  <c r="V52" i="1"/>
  <c r="O52" i="1"/>
  <c r="N52" i="1"/>
  <c r="M52" i="1"/>
  <c r="L52" i="1"/>
  <c r="K52" i="1"/>
  <c r="P52" i="1" s="1"/>
  <c r="Q52" i="1" s="1"/>
  <c r="J52" i="1"/>
  <c r="V51" i="1"/>
  <c r="O51" i="1"/>
  <c r="N51" i="1"/>
  <c r="M51" i="1"/>
  <c r="L51" i="1"/>
  <c r="K51" i="1"/>
  <c r="J51" i="1"/>
  <c r="P51" i="1" s="1"/>
  <c r="Q51" i="1" s="1"/>
  <c r="V50" i="1"/>
  <c r="O50" i="1"/>
  <c r="P50" i="1" s="1"/>
  <c r="Q50" i="1" s="1"/>
  <c r="N50" i="1"/>
  <c r="M50" i="1"/>
  <c r="L50" i="1"/>
  <c r="K50" i="1"/>
  <c r="J50" i="1"/>
  <c r="V49" i="1"/>
  <c r="O49" i="1"/>
  <c r="N49" i="1"/>
  <c r="M49" i="1"/>
  <c r="L49" i="1"/>
  <c r="K49" i="1"/>
  <c r="J49" i="1"/>
  <c r="P49" i="1" s="1"/>
  <c r="Q49" i="1" s="1"/>
  <c r="V48" i="1"/>
  <c r="O48" i="1"/>
  <c r="N48" i="1"/>
  <c r="M48" i="1"/>
  <c r="L48" i="1"/>
  <c r="K48" i="1"/>
  <c r="J48" i="1"/>
  <c r="P48" i="1" s="1"/>
  <c r="Q48" i="1" s="1"/>
  <c r="V47" i="1"/>
  <c r="O47" i="1"/>
  <c r="N47" i="1"/>
  <c r="P47" i="1" s="1"/>
  <c r="Q47" i="1" s="1"/>
  <c r="M47" i="1"/>
  <c r="L47" i="1"/>
  <c r="K47" i="1"/>
  <c r="J47" i="1"/>
  <c r="V46" i="1"/>
  <c r="O46" i="1"/>
  <c r="N46" i="1"/>
  <c r="M46" i="1"/>
  <c r="L46" i="1"/>
  <c r="K46" i="1"/>
  <c r="J46" i="1"/>
  <c r="P46" i="1" s="1"/>
  <c r="Q46" i="1" s="1"/>
  <c r="V45" i="1"/>
  <c r="O45" i="1"/>
  <c r="N45" i="1"/>
  <c r="M45" i="1"/>
  <c r="L45" i="1"/>
  <c r="K45" i="1"/>
  <c r="J45" i="1"/>
  <c r="P45" i="1" s="1"/>
  <c r="Q45" i="1" s="1"/>
  <c r="V44" i="1"/>
  <c r="P44" i="1"/>
  <c r="Q44" i="1" s="1"/>
  <c r="O44" i="1"/>
  <c r="N44" i="1"/>
  <c r="M44" i="1"/>
  <c r="L44" i="1"/>
  <c r="K44" i="1"/>
  <c r="J44" i="1"/>
  <c r="V43" i="1"/>
  <c r="O43" i="1"/>
  <c r="N43" i="1"/>
  <c r="M43" i="1"/>
  <c r="L43" i="1"/>
  <c r="K43" i="1"/>
  <c r="P43" i="1" s="1"/>
  <c r="Q43" i="1" s="1"/>
  <c r="J43" i="1"/>
  <c r="V42" i="1"/>
  <c r="O42" i="1"/>
  <c r="N42" i="1"/>
  <c r="M42" i="1"/>
  <c r="L42" i="1"/>
  <c r="K42" i="1"/>
  <c r="P42" i="1" s="1"/>
  <c r="Q42" i="1" s="1"/>
  <c r="J42" i="1"/>
  <c r="V41" i="1"/>
  <c r="O41" i="1"/>
  <c r="N41" i="1"/>
  <c r="M41" i="1"/>
  <c r="L41" i="1"/>
  <c r="P41" i="1" s="1"/>
  <c r="Q41" i="1" s="1"/>
  <c r="K41" i="1"/>
  <c r="J41" i="1"/>
  <c r="V40" i="1"/>
  <c r="O40" i="1"/>
  <c r="N40" i="1"/>
  <c r="M40" i="1"/>
  <c r="L40" i="1"/>
  <c r="K40" i="1"/>
  <c r="J40" i="1"/>
  <c r="P40" i="1" s="1"/>
  <c r="Q40" i="1" s="1"/>
  <c r="V39" i="1"/>
  <c r="P39" i="1"/>
  <c r="Q39" i="1" s="1"/>
  <c r="O39" i="1"/>
  <c r="N39" i="1"/>
  <c r="M39" i="1"/>
  <c r="L39" i="1"/>
  <c r="K39" i="1"/>
  <c r="J39" i="1"/>
  <c r="V38" i="1"/>
  <c r="O38" i="1"/>
  <c r="N38" i="1"/>
  <c r="M38" i="1"/>
  <c r="L38" i="1"/>
  <c r="K38" i="1"/>
  <c r="P38" i="1" s="1"/>
  <c r="Q38" i="1" s="1"/>
  <c r="J38" i="1"/>
  <c r="V37" i="1"/>
  <c r="O37" i="1"/>
  <c r="N37" i="1"/>
  <c r="M37" i="1"/>
  <c r="L37" i="1"/>
  <c r="K37" i="1"/>
  <c r="J37" i="1"/>
  <c r="P37" i="1" s="1"/>
  <c r="Q37" i="1" s="1"/>
  <c r="V36" i="1"/>
  <c r="O36" i="1"/>
  <c r="P36" i="1" s="1"/>
  <c r="Q36" i="1" s="1"/>
  <c r="N36" i="1"/>
  <c r="M36" i="1"/>
  <c r="L36" i="1"/>
  <c r="K36" i="1"/>
  <c r="J36" i="1"/>
  <c r="V35" i="1"/>
  <c r="O35" i="1"/>
  <c r="N35" i="1"/>
  <c r="M35" i="1"/>
  <c r="L35" i="1"/>
  <c r="K35" i="1"/>
  <c r="J35" i="1"/>
  <c r="P35" i="1" s="1"/>
  <c r="Q35" i="1" s="1"/>
  <c r="V34" i="1"/>
  <c r="O34" i="1"/>
  <c r="N34" i="1"/>
  <c r="M34" i="1"/>
  <c r="L34" i="1"/>
  <c r="K34" i="1"/>
  <c r="J34" i="1"/>
  <c r="P34" i="1" s="1"/>
  <c r="Q34" i="1" s="1"/>
  <c r="V33" i="1"/>
  <c r="O33" i="1"/>
  <c r="N33" i="1"/>
  <c r="P33" i="1" s="1"/>
  <c r="Q33" i="1" s="1"/>
  <c r="M33" i="1"/>
  <c r="L33" i="1"/>
  <c r="K33" i="1"/>
  <c r="J33" i="1"/>
  <c r="V32" i="1"/>
  <c r="O32" i="1"/>
  <c r="N32" i="1"/>
  <c r="M32" i="1"/>
  <c r="L32" i="1"/>
  <c r="K32" i="1"/>
  <c r="J32" i="1"/>
  <c r="P32" i="1" s="1"/>
  <c r="Q32" i="1" s="1"/>
  <c r="V31" i="1"/>
  <c r="O31" i="1"/>
  <c r="N31" i="1"/>
  <c r="M31" i="1"/>
  <c r="L31" i="1"/>
  <c r="K31" i="1"/>
  <c r="J31" i="1"/>
  <c r="P31" i="1" s="1"/>
  <c r="Q31" i="1" s="1"/>
  <c r="V30" i="1"/>
  <c r="P30" i="1"/>
  <c r="Q30" i="1" s="1"/>
  <c r="O30" i="1"/>
  <c r="N30" i="1"/>
  <c r="M30" i="1"/>
  <c r="L30" i="1"/>
  <c r="K30" i="1"/>
  <c r="J30" i="1"/>
  <c r="V29" i="1"/>
  <c r="O29" i="1"/>
  <c r="N29" i="1"/>
  <c r="M29" i="1"/>
  <c r="L29" i="1"/>
  <c r="K29" i="1"/>
  <c r="P29" i="1" s="1"/>
  <c r="Q29" i="1" s="1"/>
  <c r="J29" i="1"/>
  <c r="V28" i="1"/>
  <c r="O28" i="1"/>
  <c r="N28" i="1"/>
  <c r="M28" i="1"/>
  <c r="L28" i="1"/>
  <c r="K28" i="1"/>
  <c r="P28" i="1" s="1"/>
  <c r="Q28" i="1" s="1"/>
  <c r="J28" i="1"/>
  <c r="V27" i="1"/>
  <c r="O27" i="1"/>
  <c r="N27" i="1"/>
  <c r="M27" i="1"/>
  <c r="L27" i="1"/>
  <c r="P27" i="1" s="1"/>
  <c r="Q27" i="1" s="1"/>
  <c r="K27" i="1"/>
  <c r="J27" i="1"/>
  <c r="V26" i="1"/>
  <c r="O26" i="1"/>
  <c r="N26" i="1"/>
  <c r="M26" i="1"/>
  <c r="L26" i="1"/>
  <c r="K26" i="1"/>
  <c r="J26" i="1"/>
  <c r="P26" i="1" s="1"/>
  <c r="Q26" i="1" s="1"/>
  <c r="V25" i="1"/>
  <c r="P25" i="1"/>
  <c r="Q25" i="1" s="1"/>
  <c r="O25" i="1"/>
  <c r="N25" i="1"/>
  <c r="M25" i="1"/>
  <c r="L25" i="1"/>
  <c r="K25" i="1"/>
  <c r="J25" i="1"/>
  <c r="V24" i="1"/>
  <c r="O24" i="1"/>
  <c r="N24" i="1"/>
  <c r="M24" i="1"/>
  <c r="L24" i="1"/>
  <c r="K24" i="1"/>
  <c r="P24" i="1" s="1"/>
  <c r="Q24" i="1" s="1"/>
  <c r="J24" i="1"/>
  <c r="V23" i="1"/>
  <c r="O23" i="1"/>
  <c r="N23" i="1"/>
  <c r="M23" i="1"/>
  <c r="L23" i="1"/>
  <c r="K23" i="1"/>
  <c r="J23" i="1"/>
  <c r="P23" i="1" s="1"/>
  <c r="Q23" i="1" s="1"/>
  <c r="V22" i="1"/>
  <c r="O22" i="1"/>
  <c r="P22" i="1" s="1"/>
  <c r="Q22" i="1" s="1"/>
  <c r="N22" i="1"/>
  <c r="M22" i="1"/>
  <c r="L22" i="1"/>
  <c r="K22" i="1"/>
  <c r="J22" i="1"/>
  <c r="V21" i="1"/>
  <c r="O21" i="1"/>
  <c r="N21" i="1"/>
  <c r="M21" i="1"/>
  <c r="L21" i="1"/>
  <c r="K21" i="1"/>
  <c r="J21" i="1"/>
  <c r="P21" i="1" s="1"/>
  <c r="Q21" i="1" s="1"/>
  <c r="V20" i="1"/>
  <c r="O20" i="1"/>
  <c r="N20" i="1"/>
  <c r="M20" i="1"/>
  <c r="L20" i="1"/>
  <c r="K20" i="1"/>
  <c r="J20" i="1"/>
  <c r="P20" i="1" s="1"/>
  <c r="Q20" i="1" s="1"/>
  <c r="V19" i="1"/>
  <c r="O19" i="1"/>
  <c r="N19" i="1"/>
  <c r="P19" i="1" s="1"/>
  <c r="Q19" i="1" s="1"/>
  <c r="M19" i="1"/>
  <c r="L19" i="1"/>
  <c r="K19" i="1"/>
  <c r="J19" i="1"/>
  <c r="V18" i="1"/>
  <c r="O18" i="1"/>
  <c r="N18" i="1"/>
  <c r="M18" i="1"/>
  <c r="L18" i="1"/>
  <c r="K18" i="1"/>
  <c r="J18" i="1"/>
  <c r="P18" i="1" s="1"/>
  <c r="Q18" i="1" s="1"/>
  <c r="V17" i="1"/>
  <c r="O17" i="1"/>
  <c r="N17" i="1"/>
  <c r="M17" i="1"/>
  <c r="L17" i="1"/>
  <c r="K17" i="1"/>
  <c r="J17" i="1"/>
  <c r="P17" i="1" s="1"/>
  <c r="Q17" i="1" s="1"/>
  <c r="V16" i="1"/>
  <c r="P16" i="1"/>
  <c r="Q16" i="1" s="1"/>
  <c r="O16" i="1"/>
  <c r="N16" i="1"/>
  <c r="M16" i="1"/>
  <c r="L16" i="1"/>
  <c r="K16" i="1"/>
  <c r="J16" i="1"/>
  <c r="V15" i="1"/>
  <c r="O15" i="1"/>
  <c r="N15" i="1"/>
  <c r="M15" i="1"/>
  <c r="L15" i="1"/>
  <c r="K15" i="1"/>
  <c r="P15" i="1" s="1"/>
  <c r="Q15" i="1" s="1"/>
  <c r="J15" i="1"/>
  <c r="V14" i="1"/>
  <c r="O14" i="1"/>
  <c r="N14" i="1"/>
  <c r="M14" i="1"/>
  <c r="L14" i="1"/>
  <c r="K14" i="1"/>
  <c r="P14" i="1" s="1"/>
  <c r="Q14" i="1" s="1"/>
  <c r="J14" i="1"/>
  <c r="V13" i="1"/>
  <c r="O13" i="1"/>
  <c r="N13" i="1"/>
  <c r="M13" i="1"/>
  <c r="L13" i="1"/>
  <c r="P13" i="1" s="1"/>
  <c r="Q13" i="1" s="1"/>
  <c r="K13" i="1"/>
  <c r="J13" i="1"/>
  <c r="V12" i="1"/>
  <c r="O12" i="1"/>
  <c r="N12" i="1"/>
  <c r="M12" i="1"/>
  <c r="L12" i="1"/>
  <c r="K12" i="1"/>
  <c r="J12" i="1"/>
  <c r="P12" i="1" s="1"/>
  <c r="Q12" i="1" s="1"/>
  <c r="V11" i="1"/>
  <c r="P11" i="1"/>
  <c r="Q11" i="1" s="1"/>
  <c r="O11" i="1"/>
  <c r="N11" i="1"/>
  <c r="M11" i="1"/>
  <c r="L11" i="1"/>
  <c r="K11" i="1"/>
  <c r="J11" i="1"/>
  <c r="V10" i="1"/>
  <c r="O10" i="1"/>
  <c r="N10" i="1"/>
  <c r="M10" i="1"/>
  <c r="L10" i="1"/>
  <c r="K10" i="1"/>
  <c r="P10" i="1" s="1"/>
  <c r="Q10" i="1" s="1"/>
  <c r="J10" i="1"/>
  <c r="V9" i="1"/>
  <c r="O9" i="1"/>
  <c r="N9" i="1"/>
  <c r="M9" i="1"/>
  <c r="L9" i="1"/>
  <c r="K9" i="1"/>
  <c r="J9" i="1"/>
  <c r="P9" i="1" s="1"/>
  <c r="Q9" i="1" s="1"/>
  <c r="V8" i="1"/>
  <c r="O8" i="1"/>
  <c r="P8" i="1" s="1"/>
  <c r="Q8" i="1" s="1"/>
  <c r="N8" i="1"/>
  <c r="M8" i="1"/>
  <c r="L8" i="1"/>
  <c r="K8" i="1"/>
  <c r="J8" i="1"/>
  <c r="V7" i="1"/>
  <c r="O7" i="1"/>
  <c r="N7" i="1"/>
  <c r="M7" i="1"/>
  <c r="L7" i="1"/>
  <c r="K7" i="1"/>
  <c r="J7" i="1"/>
  <c r="P7" i="1" s="1"/>
  <c r="Q7" i="1" s="1"/>
  <c r="V6" i="1"/>
  <c r="O6" i="1"/>
  <c r="N6" i="1"/>
  <c r="M6" i="1"/>
  <c r="L6" i="1"/>
  <c r="K6" i="1"/>
  <c r="J6" i="1"/>
  <c r="P6" i="1" s="1"/>
  <c r="Q6" i="1" s="1"/>
  <c r="V4" i="1"/>
  <c r="O4" i="1"/>
  <c r="N4" i="1"/>
  <c r="P4" i="1" s="1"/>
  <c r="Q4" i="1" s="1"/>
  <c r="M4" i="1"/>
  <c r="L4" i="1"/>
  <c r="K4" i="1"/>
  <c r="J4" i="1"/>
  <c r="I13" i="2" l="1"/>
  <c r="I14" i="2"/>
</calcChain>
</file>

<file path=xl/sharedStrings.xml><?xml version="1.0" encoding="utf-8"?>
<sst xmlns="http://schemas.openxmlformats.org/spreadsheetml/2006/main" count="110" uniqueCount="96">
  <si>
    <t>Lead Generation — Social Media — MENA</t>
  </si>
  <si>
    <t>🟡 Yellow = answers (dropdown)  |  🟢 Green = auto-scores  |  🔵 Blue = KPI tracking</t>
  </si>
  <si>
    <t>Seller
Name</t>
  </si>
  <si>
    <t>Email
Address</t>
  </si>
  <si>
    <t>Mobile
Number</t>
  </si>
  <si>
    <t>Commercial
Registration?
سجل تجاري؟</t>
  </si>
  <si>
    <t>How many
SKUs?
عدد المنتجات؟</t>
  </si>
  <si>
    <t>Have a
Website?
موقع إلكتروني؟</t>
  </si>
  <si>
    <t>Products
Category?
فئة المنتجات؟</t>
  </si>
  <si>
    <t>Annual
Revenue?
الإيرادات؟</t>
  </si>
  <si>
    <t>FBA
Interest?
FBA؟</t>
  </si>
  <si>
    <t>CR</t>
  </si>
  <si>
    <t>SKU</t>
  </si>
  <si>
    <t>Web</t>
  </si>
  <si>
    <t>Cat</t>
  </si>
  <si>
    <t>Rev</t>
  </si>
  <si>
    <t>FBA</t>
  </si>
  <si>
    <t>TOTAL
/20</t>
  </si>
  <si>
    <t>LEAD
QUALITY</t>
  </si>
  <si>
    <t>Reg
Start</t>
  </si>
  <si>
    <t>Reg
Complete</t>
  </si>
  <si>
    <t>SIV
Pass</t>
  </si>
  <si>
    <t>Launch</t>
  </si>
  <si>
    <t>Funnel
Stage</t>
  </si>
  <si>
    <t>Notes</t>
  </si>
  <si>
    <t>Ahmed Al-Rashid</t>
  </si>
  <si>
    <t>ahmed@company.sa</t>
  </si>
  <si>
    <t>+966501234567</t>
  </si>
  <si>
    <t>Yes</t>
  </si>
  <si>
    <t>50+</t>
  </si>
  <si>
    <t>Electronics</t>
  </si>
  <si>
    <t>&gt; 5M SAR</t>
  </si>
  <si>
    <t>Perfect lead — registered &amp; launched!</t>
  </si>
  <si>
    <t>Scoring Guide</t>
  </si>
  <si>
    <t>6 scored questions, max 20 points</t>
  </si>
  <si>
    <t>#</t>
  </si>
  <si>
    <t>Question</t>
  </si>
  <si>
    <t>Answer</t>
  </si>
  <si>
    <t>Score</t>
  </si>
  <si>
    <t>1</t>
  </si>
  <si>
    <t>Commercial Registration?</t>
  </si>
  <si>
    <t>No</t>
  </si>
  <si>
    <t>2</t>
  </si>
  <si>
    <t>How many SKUs?</t>
  </si>
  <si>
    <t>20-50</t>
  </si>
  <si>
    <t>5-20</t>
  </si>
  <si>
    <t>1-5</t>
  </si>
  <si>
    <t>0 / Not sure</t>
  </si>
  <si>
    <t>3</t>
  </si>
  <si>
    <t>Have a website?</t>
  </si>
  <si>
    <t>4</t>
  </si>
  <si>
    <t>Products Category?</t>
  </si>
  <si>
    <t>Electronics / Computers / Phones</t>
  </si>
  <si>
    <t>Home &amp; Kitchen / Beauty / Fashion</t>
  </si>
  <si>
    <t>Health / Sports / Tools</t>
  </si>
  <si>
    <t>Grocery / Baby / Toys</t>
  </si>
  <si>
    <t>Other</t>
  </si>
  <si>
    <t>5</t>
  </si>
  <si>
    <t>Annual Revenue?</t>
  </si>
  <si>
    <t>1M - 5M SAR</t>
  </si>
  <si>
    <t>500K - 1M SAR</t>
  </si>
  <si>
    <t>&lt; 500K SAR</t>
  </si>
  <si>
    <t>6</t>
  </si>
  <si>
    <t>FBA Interest?</t>
  </si>
  <si>
    <t>MAXIMUM TOTAL SCORE</t>
  </si>
  <si>
    <t>Lead Quality</t>
  </si>
  <si>
    <t>Score Range</t>
  </si>
  <si>
    <t>🔥 High</t>
  </si>
  <si>
    <t>&gt; 14 pts</t>
  </si>
  <si>
    <t>🟡 Medium</t>
  </si>
  <si>
    <t>8 — 14 pts</t>
  </si>
  <si>
    <t>🔵 Low</t>
  </si>
  <si>
    <t>&lt; 8 pts</t>
  </si>
  <si>
    <t>KPI Summary</t>
  </si>
  <si>
    <t>KPI</t>
  </si>
  <si>
    <t>Count</t>
  </si>
  <si>
    <t>%</t>
  </si>
  <si>
    <t>Total Leads</t>
  </si>
  <si>
    <t>Reg Start</t>
  </si>
  <si>
    <t>Reg Complete</t>
  </si>
  <si>
    <t>SIV Pass</t>
  </si>
  <si>
    <t>Launched</t>
  </si>
  <si>
    <t>Example: Ahmed</t>
  </si>
  <si>
    <t>CR?</t>
  </si>
  <si>
    <t>Yes → 3</t>
  </si>
  <si>
    <t>SKUs?</t>
  </si>
  <si>
    <t>50+ → 4</t>
  </si>
  <si>
    <t>Website?</t>
  </si>
  <si>
    <t>Yes → 2</t>
  </si>
  <si>
    <t>Category?</t>
  </si>
  <si>
    <t>Electronics → 4</t>
  </si>
  <si>
    <t>Revenue?</t>
  </si>
  <si>
    <t>&gt; 5M → 4</t>
  </si>
  <si>
    <t>FBA?</t>
  </si>
  <si>
    <t>TOTAL</t>
  </si>
  <si>
    <t>20 → 🔥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</si>
</sst>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232F3E"/>
      <name val="Calibri"/>
      <family val="2"/>
      <scheme val="minor"/>
    </font>
    <font>
      <b/>
      <sz val="10"/>
      <color rgb="FFFF99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32F3E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9"/>
      <color rgb="FF3B82F6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232F3E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155724"/>
      <name val="Calibri"/>
      <family val="2"/>
      <scheme val="minor"/>
    </font>
    <font>
      <b/>
      <sz val="13"/>
      <color rgb="FF9CA3A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856404"/>
      <name val="Calibri"/>
      <family val="2"/>
      <scheme val="minor"/>
    </font>
    <font>
      <b/>
      <sz val="11"/>
      <color rgb="FF721C24"/>
      <name val="Calibri"/>
      <family val="2"/>
      <scheme val="minor"/>
    </font>
    <font>
      <b/>
      <sz val="12"/>
      <color rgb="FFFF9900"/>
      <name val="Calibri"/>
      <family val="2"/>
      <scheme val="minor"/>
    </font>
    <font>
      <sz val="11"/>
      <color rgb="FF232F3E"/>
      <name val="Calibri"/>
      <family val="2"/>
      <scheme val="minor"/>
    </font>
    <font>
      <b/>
      <sz val="16"/>
      <color rgb="FFFF99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32F3E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8E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0" xfId="0" applyFont="1"/>
    <xf numFmtId="0" fontId="5" fillId="8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8" fillId="0" borderId="0" xfId="0" applyFont="1"/>
    <xf numFmtId="0" fontId="9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12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horizontal="center" vertical="center"/>
    </xf>
    <xf numFmtId="0" fontId="10" fillId="0" borderId="0" xfId="0" applyFont="1"/>
    <xf numFmtId="0" fontId="12" fillId="1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1" fillId="12" borderId="1" xfId="0" applyFont="1" applyFill="1" applyBorder="1" applyAlignment="1">
      <alignment vertical="center" wrapText="1"/>
    </xf>
    <xf numFmtId="9" fontId="11" fillId="0" borderId="1" xfId="0" applyNumberFormat="1" applyFont="1" applyBorder="1" applyAlignment="1">
      <alignment horizontal="center"/>
    </xf>
    <xf numFmtId="0" fontId="18" fillId="0" borderId="0" xfId="0" applyFont="1"/>
    <xf numFmtId="0" fontId="15" fillId="10" borderId="1" xfId="0" applyFont="1" applyFill="1" applyBorder="1"/>
    <xf numFmtId="0" fontId="19" fillId="12" borderId="1" xfId="0" applyFont="1" applyFill="1" applyBorder="1"/>
    <xf numFmtId="0" fontId="11" fillId="11" borderId="1" xfId="0" applyFont="1" applyFill="1" applyBorder="1"/>
    <xf numFmtId="0" fontId="13" fillId="11" borderId="1" xfId="0" applyFont="1" applyFill="1" applyBorder="1"/>
    <xf numFmtId="0" fontId="12" fillId="0" borderId="0" xfId="0" applyFont="1"/>
    <xf numFmtId="0" fontId="20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color rgb="FF721C24"/>
      </font>
      <fill>
        <patternFill>
          <bgColor rgb="FFF8D7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856404"/>
      </font>
      <fill>
        <patternFill>
          <bgColor rgb="FFFFF3C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155724"/>
      </font>
      <fill>
        <patternFill>
          <bgColor rgb="FFD4ED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21C24"/>
      </font>
      <fill>
        <patternFill>
          <bgColor rgb="FFF8D7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856404"/>
      </font>
      <fill>
        <patternFill>
          <bgColor rgb="FFFFF3C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155724"/>
      </font>
      <fill>
        <patternFill>
          <bgColor rgb="FFD4ED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D46888-3431-495C-A5CF-9EC4183CFE07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</sheetPr>
  <dimension ref="A1:W104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W6" sqref="W6"/>
    </sheetView>
  </sheetViews>
  <sheetFormatPr defaultRowHeight="14.5" x14ac:dyDescent="0.35"/>
  <cols>
    <col min="1" max="1" width="18.7265625" customWidth="1"/>
    <col min="2" max="2" width="24.7265625" customWidth="1"/>
    <col min="3" max="3" width="16.7265625" customWidth="1"/>
    <col min="4" max="5" width="14.7265625" customWidth="1"/>
    <col min="6" max="6" width="12.7265625" customWidth="1"/>
    <col min="7" max="7" width="20.7265625" customWidth="1"/>
    <col min="8" max="8" width="16.7265625" customWidth="1"/>
    <col min="9" max="9" width="12.7265625" customWidth="1"/>
    <col min="10" max="15" width="7.7265625" customWidth="1"/>
    <col min="16" max="16" width="10.7265625" customWidth="1"/>
    <col min="17" max="17" width="14.7265625" customWidth="1"/>
    <col min="18" max="18" width="10.7265625" customWidth="1"/>
    <col min="19" max="19" width="12.7265625" customWidth="1"/>
    <col min="20" max="21" width="10.7265625" customWidth="1"/>
    <col min="22" max="22" width="16.7265625" customWidth="1"/>
    <col min="23" max="23" width="26.7265625" customWidth="1"/>
  </cols>
  <sheetData>
    <row r="1" spans="1:23" ht="21" x14ac:dyDescent="0.5">
      <c r="A1" s="1" t="s">
        <v>0</v>
      </c>
    </row>
    <row r="2" spans="1:23" x14ac:dyDescent="0.35">
      <c r="A2" s="2" t="s">
        <v>1</v>
      </c>
    </row>
    <row r="3" spans="1:23" ht="48" customHeight="1" x14ac:dyDescent="0.3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7" t="s">
        <v>23</v>
      </c>
      <c r="W3" s="7" t="s">
        <v>24</v>
      </c>
    </row>
    <row r="4" spans="1:23" x14ac:dyDescent="0.35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28</v>
      </c>
      <c r="G4" s="8" t="s">
        <v>30</v>
      </c>
      <c r="H4" s="8" t="s">
        <v>31</v>
      </c>
      <c r="I4" s="8" t="s">
        <v>28</v>
      </c>
      <c r="J4" s="9">
        <f>IF(D4="Yes",3,IF(D4="No",0,""))</f>
        <v>3</v>
      </c>
      <c r="K4" s="9">
        <f>IF(E4="50+",4,IF(E4="20-50",3,IF(E4="5-20",2,IF(E4="1-5",1,IF(E4="0 / Not sure",0,"")))))</f>
        <v>4</v>
      </c>
      <c r="L4" s="9">
        <f>IF(F4="Yes",2,IF(F4="No",0,""))</f>
        <v>2</v>
      </c>
      <c r="M4" s="9">
        <f>IF(OR(G4="Electronics",G4="Computers",G4="Phones"),4,IF(OR(G4="Home &amp; Kitchen",G4="Beauty",G4="Fashion"),3,IF(OR(G4="Health",G4="Sports",G4="Tools"),3,IF(OR(G4="Grocery",G4="Baby",G4="Toys"),2,IF(G4="Other",0,"")))))</f>
        <v>4</v>
      </c>
      <c r="N4" s="9">
        <f>IF(H4="&gt; 5M SAR",4,IF(H4="1M - 5M SAR",3,IF(H4="500K - 1M SAR",2,IF(H4="&lt; 500K SAR",0,""))))</f>
        <v>4</v>
      </c>
      <c r="O4" s="9">
        <f>IF(I4="Yes",3,IF(I4="No",0,""))</f>
        <v>3</v>
      </c>
      <c r="P4" s="9">
        <f>IF(COUNTA(J4:O4)=6,SUM(J4:O4),"")</f>
        <v>20</v>
      </c>
      <c r="Q4" s="9" t="str">
        <f>IF(P4="","",IF(P4&gt;14,"High",IF(P4&gt;=8,"Medium","Low")))</f>
        <v>High</v>
      </c>
      <c r="R4" s="8" t="s">
        <v>28</v>
      </c>
      <c r="S4" s="8" t="s">
        <v>28</v>
      </c>
      <c r="T4" s="8" t="s">
        <v>28</v>
      </c>
      <c r="U4" s="8" t="s">
        <v>28</v>
      </c>
      <c r="V4" s="9" t="str">
        <f>IF(U4="Yes","Launched",IF(T4="Yes","SIV Pass",IF(S4="Yes","Reg Complete",IF(R4="Yes","Reg Start",""))))</f>
        <v>Launched</v>
      </c>
      <c r="W4" s="8" t="s">
        <v>32</v>
      </c>
    </row>
    <row r="5" spans="1:23" x14ac:dyDescent="0.35">
      <c r="A5" s="10"/>
    </row>
    <row r="6" spans="1:23" x14ac:dyDescent="0.35">
      <c r="D6" s="11"/>
      <c r="E6" s="11"/>
      <c r="F6" s="11"/>
      <c r="G6" s="11"/>
      <c r="H6" s="11"/>
      <c r="I6" s="11"/>
      <c r="J6" s="12" t="str">
        <f t="shared" ref="J6:J37" si="0">IF(D6="Yes",3,IF(D6="No",0,""))</f>
        <v/>
      </c>
      <c r="K6" s="12" t="str">
        <f t="shared" ref="K6:K37" si="1">IF(E6="50+",4,IF(E6="20-50",3,IF(E6="5-20",2,IF(E6="1-5",1,IF(E6="0 / Not sure",0,"")))))</f>
        <v/>
      </c>
      <c r="L6" s="12" t="str">
        <f t="shared" ref="L6:L37" si="2">IF(F6="Yes",2,IF(F6="No",0,""))</f>
        <v/>
      </c>
      <c r="M6" s="12" t="str">
        <f t="shared" ref="M6:M37" si="3">IF(OR(G6="Electronics",G6="Computers",G6="Phones"),4,IF(OR(G6="Home &amp; Kitchen",G6="Beauty",G6="Fashion"),3,IF(OR(G6="Health",G6="Sports",G6="Tools"),3,IF(OR(G6="Grocery",G6="Baby",G6="Toys"),2,IF(G6="Other",0,"")))))</f>
        <v/>
      </c>
      <c r="N6" s="12" t="str">
        <f t="shared" ref="N6:N37" si="4">IF(H6="&gt; 5M SAR",4,IF(H6="1M - 5M SAR",3,IF(H6="500K - 1M SAR",2,IF(H6="&lt; 500K SAR",0,""))))</f>
        <v/>
      </c>
      <c r="O6" s="12" t="str">
        <f t="shared" ref="O6:O37" si="5">IF(I6="Yes",3,IF(I6="No",0,""))</f>
        <v/>
      </c>
      <c r="P6" s="12">
        <f t="shared" ref="P6:P37" si="6">IF(COUNTA(J6:O6)=6,SUM(J6:O6),"")</f>
        <v>0</v>
      </c>
      <c r="Q6" s="12" t="str">
        <f t="shared" ref="Q6:Q37" si="7">IF(P6="","",IF(P6&gt;14,"High",IF(P6&gt;=8,"Medium","Low")))</f>
        <v>Low</v>
      </c>
      <c r="R6" s="13"/>
      <c r="S6" s="13"/>
      <c r="T6" s="13"/>
      <c r="U6" s="13"/>
      <c r="V6" s="12" t="str">
        <f t="shared" ref="V6:V37" si="8">IF(U6="Yes","Launched",IF(T6="Yes","SIV Pass",IF(S6="Yes","Reg Complete",IF(R6="Yes","Reg Start",""))))</f>
        <v/>
      </c>
    </row>
    <row r="7" spans="1:23" x14ac:dyDescent="0.35">
      <c r="D7" s="11"/>
      <c r="E7" s="11"/>
      <c r="F7" s="11"/>
      <c r="G7" s="11"/>
      <c r="H7" s="11"/>
      <c r="I7" s="11"/>
      <c r="J7" s="12" t="str">
        <f t="shared" si="0"/>
        <v/>
      </c>
      <c r="K7" s="12" t="str">
        <f t="shared" si="1"/>
        <v/>
      </c>
      <c r="L7" s="12" t="str">
        <f t="shared" si="2"/>
        <v/>
      </c>
      <c r="M7" s="12" t="str">
        <f t="shared" si="3"/>
        <v/>
      </c>
      <c r="N7" s="12" t="str">
        <f t="shared" si="4"/>
        <v/>
      </c>
      <c r="O7" s="12" t="str">
        <f t="shared" si="5"/>
        <v/>
      </c>
      <c r="P7" s="12">
        <f t="shared" si="6"/>
        <v>0</v>
      </c>
      <c r="Q7" s="12" t="str">
        <f t="shared" si="7"/>
        <v>Low</v>
      </c>
      <c r="R7" s="13"/>
      <c r="S7" s="13"/>
      <c r="T7" s="13"/>
      <c r="U7" s="13"/>
      <c r="V7" s="12" t="str">
        <f t="shared" si="8"/>
        <v/>
      </c>
    </row>
    <row r="8" spans="1:23" x14ac:dyDescent="0.35">
      <c r="D8" s="11"/>
      <c r="E8" s="11"/>
      <c r="F8" s="11"/>
      <c r="G8" s="11"/>
      <c r="H8" s="11"/>
      <c r="I8" s="11"/>
      <c r="J8" s="12" t="str">
        <f t="shared" si="0"/>
        <v/>
      </c>
      <c r="K8" s="12" t="str">
        <f t="shared" si="1"/>
        <v/>
      </c>
      <c r="L8" s="12" t="str">
        <f t="shared" si="2"/>
        <v/>
      </c>
      <c r="M8" s="12" t="str">
        <f t="shared" si="3"/>
        <v/>
      </c>
      <c r="N8" s="12" t="str">
        <f t="shared" si="4"/>
        <v/>
      </c>
      <c r="O8" s="12" t="str">
        <f t="shared" si="5"/>
        <v/>
      </c>
      <c r="P8" s="12">
        <f t="shared" si="6"/>
        <v>0</v>
      </c>
      <c r="Q8" s="12" t="str">
        <f t="shared" si="7"/>
        <v>Low</v>
      </c>
      <c r="R8" s="13"/>
      <c r="S8" s="13"/>
      <c r="T8" s="13"/>
      <c r="U8" s="13"/>
      <c r="V8" s="12" t="str">
        <f t="shared" si="8"/>
        <v/>
      </c>
    </row>
    <row r="9" spans="1:23" x14ac:dyDescent="0.35">
      <c r="D9" s="11"/>
      <c r="E9" s="11"/>
      <c r="F9" s="11"/>
      <c r="G9" s="11"/>
      <c r="H9" s="11"/>
      <c r="I9" s="11"/>
      <c r="J9" s="12" t="str">
        <f t="shared" si="0"/>
        <v/>
      </c>
      <c r="K9" s="12" t="str">
        <f t="shared" si="1"/>
        <v/>
      </c>
      <c r="L9" s="12" t="str">
        <f t="shared" si="2"/>
        <v/>
      </c>
      <c r="M9" s="12" t="str">
        <f t="shared" si="3"/>
        <v/>
      </c>
      <c r="N9" s="12" t="str">
        <f t="shared" si="4"/>
        <v/>
      </c>
      <c r="O9" s="12" t="str">
        <f t="shared" si="5"/>
        <v/>
      </c>
      <c r="P9" s="12">
        <f t="shared" si="6"/>
        <v>0</v>
      </c>
      <c r="Q9" s="12" t="str">
        <f t="shared" si="7"/>
        <v>Low</v>
      </c>
      <c r="R9" s="13"/>
      <c r="S9" s="13"/>
      <c r="T9" s="13"/>
      <c r="U9" s="13"/>
      <c r="V9" s="12" t="str">
        <f t="shared" si="8"/>
        <v/>
      </c>
    </row>
    <row r="10" spans="1:23" x14ac:dyDescent="0.35">
      <c r="D10" s="11"/>
      <c r="E10" s="11"/>
      <c r="F10" s="11"/>
      <c r="G10" s="11"/>
      <c r="H10" s="11"/>
      <c r="I10" s="11"/>
      <c r="J10" s="12" t="str">
        <f t="shared" si="0"/>
        <v/>
      </c>
      <c r="K10" s="12" t="str">
        <f t="shared" si="1"/>
        <v/>
      </c>
      <c r="L10" s="12" t="str">
        <f t="shared" si="2"/>
        <v/>
      </c>
      <c r="M10" s="12" t="str">
        <f t="shared" si="3"/>
        <v/>
      </c>
      <c r="N10" s="12" t="str">
        <f t="shared" si="4"/>
        <v/>
      </c>
      <c r="O10" s="12" t="str">
        <f t="shared" si="5"/>
        <v/>
      </c>
      <c r="P10" s="12">
        <f t="shared" si="6"/>
        <v>0</v>
      </c>
      <c r="Q10" s="12" t="str">
        <f t="shared" si="7"/>
        <v>Low</v>
      </c>
      <c r="R10" s="13"/>
      <c r="S10" s="13"/>
      <c r="T10" s="13"/>
      <c r="U10" s="13"/>
      <c r="V10" s="12" t="str">
        <f t="shared" si="8"/>
        <v/>
      </c>
    </row>
    <row r="11" spans="1:23" x14ac:dyDescent="0.35">
      <c r="D11" s="11"/>
      <c r="E11" s="11"/>
      <c r="F11" s="11"/>
      <c r="G11" s="11"/>
      <c r="H11" s="11"/>
      <c r="I11" s="11"/>
      <c r="J11" s="12" t="str">
        <f t="shared" si="0"/>
        <v/>
      </c>
      <c r="K11" s="12" t="str">
        <f t="shared" si="1"/>
        <v/>
      </c>
      <c r="L11" s="12" t="str">
        <f t="shared" si="2"/>
        <v/>
      </c>
      <c r="M11" s="12" t="str">
        <f t="shared" si="3"/>
        <v/>
      </c>
      <c r="N11" s="12" t="str">
        <f t="shared" si="4"/>
        <v/>
      </c>
      <c r="O11" s="12" t="str">
        <f t="shared" si="5"/>
        <v/>
      </c>
      <c r="P11" s="12">
        <f t="shared" si="6"/>
        <v>0</v>
      </c>
      <c r="Q11" s="12" t="str">
        <f t="shared" si="7"/>
        <v>Low</v>
      </c>
      <c r="R11" s="13"/>
      <c r="S11" s="13"/>
      <c r="T11" s="13"/>
      <c r="U11" s="13"/>
      <c r="V11" s="12" t="str">
        <f t="shared" si="8"/>
        <v/>
      </c>
    </row>
    <row r="12" spans="1:23" x14ac:dyDescent="0.35">
      <c r="D12" s="11"/>
      <c r="E12" s="11"/>
      <c r="F12" s="11"/>
      <c r="G12" s="11"/>
      <c r="H12" s="11"/>
      <c r="I12" s="11"/>
      <c r="J12" s="12" t="str">
        <f t="shared" si="0"/>
        <v/>
      </c>
      <c r="K12" s="12" t="str">
        <f t="shared" si="1"/>
        <v/>
      </c>
      <c r="L12" s="12" t="str">
        <f t="shared" si="2"/>
        <v/>
      </c>
      <c r="M12" s="12" t="str">
        <f t="shared" si="3"/>
        <v/>
      </c>
      <c r="N12" s="12" t="str">
        <f t="shared" si="4"/>
        <v/>
      </c>
      <c r="O12" s="12" t="str">
        <f t="shared" si="5"/>
        <v/>
      </c>
      <c r="P12" s="12">
        <f t="shared" si="6"/>
        <v>0</v>
      </c>
      <c r="Q12" s="12" t="str">
        <f t="shared" si="7"/>
        <v>Low</v>
      </c>
      <c r="R12" s="13"/>
      <c r="S12" s="13"/>
      <c r="T12" s="13"/>
      <c r="U12" s="13"/>
      <c r="V12" s="12" t="str">
        <f t="shared" si="8"/>
        <v/>
      </c>
    </row>
    <row r="13" spans="1:23" x14ac:dyDescent="0.35">
      <c r="D13" s="11"/>
      <c r="E13" s="11"/>
      <c r="F13" s="11"/>
      <c r="G13" s="11"/>
      <c r="H13" s="11"/>
      <c r="I13" s="11"/>
      <c r="J13" s="12" t="str">
        <f t="shared" si="0"/>
        <v/>
      </c>
      <c r="K13" s="12" t="str">
        <f t="shared" si="1"/>
        <v/>
      </c>
      <c r="L13" s="12" t="str">
        <f t="shared" si="2"/>
        <v/>
      </c>
      <c r="M13" s="12" t="str">
        <f t="shared" si="3"/>
        <v/>
      </c>
      <c r="N13" s="12" t="str">
        <f t="shared" si="4"/>
        <v/>
      </c>
      <c r="O13" s="12" t="str">
        <f t="shared" si="5"/>
        <v/>
      </c>
      <c r="P13" s="12">
        <f t="shared" si="6"/>
        <v>0</v>
      </c>
      <c r="Q13" s="12" t="str">
        <f t="shared" si="7"/>
        <v>Low</v>
      </c>
      <c r="R13" s="13"/>
      <c r="S13" s="13"/>
      <c r="T13" s="13"/>
      <c r="U13" s="13"/>
      <c r="V13" s="12" t="str">
        <f t="shared" si="8"/>
        <v/>
      </c>
    </row>
    <row r="14" spans="1:23" x14ac:dyDescent="0.35">
      <c r="D14" s="11"/>
      <c r="E14" s="11"/>
      <c r="F14" s="11"/>
      <c r="G14" s="11"/>
      <c r="H14" s="11"/>
      <c r="I14" s="11"/>
      <c r="J14" s="12" t="str">
        <f t="shared" si="0"/>
        <v/>
      </c>
      <c r="K14" s="12" t="str">
        <f t="shared" si="1"/>
        <v/>
      </c>
      <c r="L14" s="12" t="str">
        <f t="shared" si="2"/>
        <v/>
      </c>
      <c r="M14" s="12" t="str">
        <f t="shared" si="3"/>
        <v/>
      </c>
      <c r="N14" s="12" t="str">
        <f t="shared" si="4"/>
        <v/>
      </c>
      <c r="O14" s="12" t="str">
        <f t="shared" si="5"/>
        <v/>
      </c>
      <c r="P14" s="12">
        <f t="shared" si="6"/>
        <v>0</v>
      </c>
      <c r="Q14" s="12" t="str">
        <f t="shared" si="7"/>
        <v>Low</v>
      </c>
      <c r="R14" s="13"/>
      <c r="S14" s="13"/>
      <c r="T14" s="13"/>
      <c r="U14" s="13"/>
      <c r="V14" s="12" t="str">
        <f t="shared" si="8"/>
        <v/>
      </c>
    </row>
    <row r="15" spans="1:23" x14ac:dyDescent="0.35">
      <c r="D15" s="11"/>
      <c r="E15" s="11"/>
      <c r="F15" s="11"/>
      <c r="G15" s="11"/>
      <c r="H15" s="11"/>
      <c r="I15" s="11"/>
      <c r="J15" s="12" t="str">
        <f t="shared" si="0"/>
        <v/>
      </c>
      <c r="K15" s="12" t="str">
        <f t="shared" si="1"/>
        <v/>
      </c>
      <c r="L15" s="12" t="str">
        <f t="shared" si="2"/>
        <v/>
      </c>
      <c r="M15" s="12" t="str">
        <f t="shared" si="3"/>
        <v/>
      </c>
      <c r="N15" s="12" t="str">
        <f t="shared" si="4"/>
        <v/>
      </c>
      <c r="O15" s="12" t="str">
        <f t="shared" si="5"/>
        <v/>
      </c>
      <c r="P15" s="12">
        <f t="shared" si="6"/>
        <v>0</v>
      </c>
      <c r="Q15" s="12" t="str">
        <f t="shared" si="7"/>
        <v>Low</v>
      </c>
      <c r="R15" s="13"/>
      <c r="S15" s="13"/>
      <c r="T15" s="13"/>
      <c r="U15" s="13"/>
      <c r="V15" s="12" t="str">
        <f t="shared" si="8"/>
        <v/>
      </c>
    </row>
    <row r="16" spans="1:23" x14ac:dyDescent="0.35">
      <c r="D16" s="11"/>
      <c r="E16" s="11"/>
      <c r="F16" s="11"/>
      <c r="G16" s="11"/>
      <c r="H16" s="11"/>
      <c r="I16" s="11"/>
      <c r="J16" s="12" t="str">
        <f t="shared" si="0"/>
        <v/>
      </c>
      <c r="K16" s="12" t="str">
        <f t="shared" si="1"/>
        <v/>
      </c>
      <c r="L16" s="12" t="str">
        <f t="shared" si="2"/>
        <v/>
      </c>
      <c r="M16" s="12" t="str">
        <f t="shared" si="3"/>
        <v/>
      </c>
      <c r="N16" s="12" t="str">
        <f t="shared" si="4"/>
        <v/>
      </c>
      <c r="O16" s="12" t="str">
        <f t="shared" si="5"/>
        <v/>
      </c>
      <c r="P16" s="12">
        <f t="shared" si="6"/>
        <v>0</v>
      </c>
      <c r="Q16" s="12" t="str">
        <f t="shared" si="7"/>
        <v>Low</v>
      </c>
      <c r="R16" s="13"/>
      <c r="S16" s="13"/>
      <c r="T16" s="13"/>
      <c r="U16" s="13"/>
      <c r="V16" s="12" t="str">
        <f t="shared" si="8"/>
        <v/>
      </c>
    </row>
    <row r="17" spans="4:22" x14ac:dyDescent="0.35">
      <c r="D17" s="11"/>
      <c r="E17" s="11"/>
      <c r="F17" s="11"/>
      <c r="G17" s="11"/>
      <c r="H17" s="11"/>
      <c r="I17" s="11"/>
      <c r="J17" s="12" t="str">
        <f t="shared" si="0"/>
        <v/>
      </c>
      <c r="K17" s="12" t="str">
        <f t="shared" si="1"/>
        <v/>
      </c>
      <c r="L17" s="12" t="str">
        <f t="shared" si="2"/>
        <v/>
      </c>
      <c r="M17" s="12" t="str">
        <f t="shared" si="3"/>
        <v/>
      </c>
      <c r="N17" s="12" t="str">
        <f t="shared" si="4"/>
        <v/>
      </c>
      <c r="O17" s="12" t="str">
        <f t="shared" si="5"/>
        <v/>
      </c>
      <c r="P17" s="12">
        <f t="shared" si="6"/>
        <v>0</v>
      </c>
      <c r="Q17" s="12" t="str">
        <f t="shared" si="7"/>
        <v>Low</v>
      </c>
      <c r="R17" s="13"/>
      <c r="S17" s="13"/>
      <c r="T17" s="13"/>
      <c r="U17" s="13"/>
      <c r="V17" s="12" t="str">
        <f t="shared" si="8"/>
        <v/>
      </c>
    </row>
    <row r="18" spans="4:22" x14ac:dyDescent="0.35">
      <c r="D18" s="11"/>
      <c r="E18" s="11"/>
      <c r="F18" s="11"/>
      <c r="G18" s="11"/>
      <c r="H18" s="11"/>
      <c r="I18" s="11"/>
      <c r="J18" s="12" t="str">
        <f t="shared" si="0"/>
        <v/>
      </c>
      <c r="K18" s="12" t="str">
        <f t="shared" si="1"/>
        <v/>
      </c>
      <c r="L18" s="12" t="str">
        <f t="shared" si="2"/>
        <v/>
      </c>
      <c r="M18" s="12" t="str">
        <f t="shared" si="3"/>
        <v/>
      </c>
      <c r="N18" s="12" t="str">
        <f t="shared" si="4"/>
        <v/>
      </c>
      <c r="O18" s="12" t="str">
        <f t="shared" si="5"/>
        <v/>
      </c>
      <c r="P18" s="12">
        <f t="shared" si="6"/>
        <v>0</v>
      </c>
      <c r="Q18" s="12" t="str">
        <f t="shared" si="7"/>
        <v>Low</v>
      </c>
      <c r="R18" s="13"/>
      <c r="S18" s="13"/>
      <c r="T18" s="13"/>
      <c r="U18" s="13"/>
      <c r="V18" s="12" t="str">
        <f t="shared" si="8"/>
        <v/>
      </c>
    </row>
    <row r="19" spans="4:22" x14ac:dyDescent="0.35">
      <c r="D19" s="11"/>
      <c r="E19" s="11"/>
      <c r="F19" s="11"/>
      <c r="G19" s="11"/>
      <c r="H19" s="11"/>
      <c r="I19" s="11"/>
      <c r="J19" s="12" t="str">
        <f t="shared" si="0"/>
        <v/>
      </c>
      <c r="K19" s="12" t="str">
        <f t="shared" si="1"/>
        <v/>
      </c>
      <c r="L19" s="12" t="str">
        <f t="shared" si="2"/>
        <v/>
      </c>
      <c r="M19" s="12" t="str">
        <f t="shared" si="3"/>
        <v/>
      </c>
      <c r="N19" s="12" t="str">
        <f t="shared" si="4"/>
        <v/>
      </c>
      <c r="O19" s="12" t="str">
        <f t="shared" si="5"/>
        <v/>
      </c>
      <c r="P19" s="12">
        <f t="shared" si="6"/>
        <v>0</v>
      </c>
      <c r="Q19" s="12" t="str">
        <f t="shared" si="7"/>
        <v>Low</v>
      </c>
      <c r="R19" s="13"/>
      <c r="S19" s="13"/>
      <c r="T19" s="13"/>
      <c r="U19" s="13"/>
      <c r="V19" s="12" t="str">
        <f t="shared" si="8"/>
        <v/>
      </c>
    </row>
    <row r="20" spans="4:22" x14ac:dyDescent="0.35">
      <c r="D20" s="11"/>
      <c r="E20" s="11"/>
      <c r="F20" s="11"/>
      <c r="G20" s="11"/>
      <c r="H20" s="11"/>
      <c r="I20" s="11"/>
      <c r="J20" s="12" t="str">
        <f t="shared" si="0"/>
        <v/>
      </c>
      <c r="K20" s="12" t="str">
        <f t="shared" si="1"/>
        <v/>
      </c>
      <c r="L20" s="12" t="str">
        <f t="shared" si="2"/>
        <v/>
      </c>
      <c r="M20" s="12" t="str">
        <f t="shared" si="3"/>
        <v/>
      </c>
      <c r="N20" s="12" t="str">
        <f t="shared" si="4"/>
        <v/>
      </c>
      <c r="O20" s="12" t="str">
        <f t="shared" si="5"/>
        <v/>
      </c>
      <c r="P20" s="12">
        <f t="shared" si="6"/>
        <v>0</v>
      </c>
      <c r="Q20" s="12" t="str">
        <f t="shared" si="7"/>
        <v>Low</v>
      </c>
      <c r="R20" s="13"/>
      <c r="S20" s="13"/>
      <c r="T20" s="13"/>
      <c r="U20" s="13"/>
      <c r="V20" s="12" t="str">
        <f t="shared" si="8"/>
        <v/>
      </c>
    </row>
    <row r="21" spans="4:22" x14ac:dyDescent="0.35">
      <c r="D21" s="11"/>
      <c r="E21" s="11"/>
      <c r="F21" s="11"/>
      <c r="G21" s="11"/>
      <c r="H21" s="11"/>
      <c r="I21" s="11"/>
      <c r="J21" s="12" t="str">
        <f t="shared" si="0"/>
        <v/>
      </c>
      <c r="K21" s="12" t="str">
        <f t="shared" si="1"/>
        <v/>
      </c>
      <c r="L21" s="12" t="str">
        <f t="shared" si="2"/>
        <v/>
      </c>
      <c r="M21" s="12" t="str">
        <f t="shared" si="3"/>
        <v/>
      </c>
      <c r="N21" s="12" t="str">
        <f t="shared" si="4"/>
        <v/>
      </c>
      <c r="O21" s="12" t="str">
        <f t="shared" si="5"/>
        <v/>
      </c>
      <c r="P21" s="12">
        <f t="shared" si="6"/>
        <v>0</v>
      </c>
      <c r="Q21" s="12" t="str">
        <f t="shared" si="7"/>
        <v>Low</v>
      </c>
      <c r="R21" s="13"/>
      <c r="S21" s="13"/>
      <c r="T21" s="13"/>
      <c r="U21" s="13"/>
      <c r="V21" s="12" t="str">
        <f t="shared" si="8"/>
        <v/>
      </c>
    </row>
    <row r="22" spans="4:22" x14ac:dyDescent="0.35">
      <c r="D22" s="11"/>
      <c r="E22" s="11"/>
      <c r="F22" s="11"/>
      <c r="G22" s="11"/>
      <c r="H22" s="11"/>
      <c r="I22" s="11"/>
      <c r="J22" s="12" t="str">
        <f t="shared" si="0"/>
        <v/>
      </c>
      <c r="K22" s="12" t="str">
        <f t="shared" si="1"/>
        <v/>
      </c>
      <c r="L22" s="12" t="str">
        <f t="shared" si="2"/>
        <v/>
      </c>
      <c r="M22" s="12" t="str">
        <f t="shared" si="3"/>
        <v/>
      </c>
      <c r="N22" s="12" t="str">
        <f t="shared" si="4"/>
        <v/>
      </c>
      <c r="O22" s="12" t="str">
        <f t="shared" si="5"/>
        <v/>
      </c>
      <c r="P22" s="12">
        <f t="shared" si="6"/>
        <v>0</v>
      </c>
      <c r="Q22" s="12" t="str">
        <f t="shared" si="7"/>
        <v>Low</v>
      </c>
      <c r="R22" s="13"/>
      <c r="S22" s="13"/>
      <c r="T22" s="13"/>
      <c r="U22" s="13"/>
      <c r="V22" s="12" t="str">
        <f t="shared" si="8"/>
        <v/>
      </c>
    </row>
    <row r="23" spans="4:22" x14ac:dyDescent="0.35">
      <c r="D23" s="11"/>
      <c r="E23" s="11"/>
      <c r="F23" s="11"/>
      <c r="G23" s="11"/>
      <c r="H23" s="11"/>
      <c r="I23" s="11"/>
      <c r="J23" s="12" t="str">
        <f t="shared" si="0"/>
        <v/>
      </c>
      <c r="K23" s="12" t="str">
        <f t="shared" si="1"/>
        <v/>
      </c>
      <c r="L23" s="12" t="str">
        <f t="shared" si="2"/>
        <v/>
      </c>
      <c r="M23" s="12" t="str">
        <f t="shared" si="3"/>
        <v/>
      </c>
      <c r="N23" s="12" t="str">
        <f t="shared" si="4"/>
        <v/>
      </c>
      <c r="O23" s="12" t="str">
        <f t="shared" si="5"/>
        <v/>
      </c>
      <c r="P23" s="12">
        <f t="shared" si="6"/>
        <v>0</v>
      </c>
      <c r="Q23" s="12" t="str">
        <f t="shared" si="7"/>
        <v>Low</v>
      </c>
      <c r="R23" s="13"/>
      <c r="S23" s="13"/>
      <c r="T23" s="13"/>
      <c r="U23" s="13"/>
      <c r="V23" s="12" t="str">
        <f t="shared" si="8"/>
        <v/>
      </c>
    </row>
    <row r="24" spans="4:22" x14ac:dyDescent="0.35">
      <c r="D24" s="11"/>
      <c r="E24" s="11"/>
      <c r="F24" s="11"/>
      <c r="G24" s="11"/>
      <c r="H24" s="11"/>
      <c r="I24" s="11"/>
      <c r="J24" s="12" t="str">
        <f t="shared" si="0"/>
        <v/>
      </c>
      <c r="K24" s="12" t="str">
        <f t="shared" si="1"/>
        <v/>
      </c>
      <c r="L24" s="12" t="str">
        <f t="shared" si="2"/>
        <v/>
      </c>
      <c r="M24" s="12" t="str">
        <f t="shared" si="3"/>
        <v/>
      </c>
      <c r="N24" s="12" t="str">
        <f t="shared" si="4"/>
        <v/>
      </c>
      <c r="O24" s="12" t="str">
        <f t="shared" si="5"/>
        <v/>
      </c>
      <c r="P24" s="12">
        <f t="shared" si="6"/>
        <v>0</v>
      </c>
      <c r="Q24" s="12" t="str">
        <f t="shared" si="7"/>
        <v>Low</v>
      </c>
      <c r="R24" s="13"/>
      <c r="S24" s="13"/>
      <c r="T24" s="13"/>
      <c r="U24" s="13"/>
      <c r="V24" s="12" t="str">
        <f t="shared" si="8"/>
        <v/>
      </c>
    </row>
    <row r="25" spans="4:22" x14ac:dyDescent="0.35">
      <c r="D25" s="11"/>
      <c r="E25" s="11"/>
      <c r="F25" s="11"/>
      <c r="G25" s="11"/>
      <c r="H25" s="11"/>
      <c r="I25" s="11"/>
      <c r="J25" s="12" t="str">
        <f t="shared" si="0"/>
        <v/>
      </c>
      <c r="K25" s="12" t="str">
        <f t="shared" si="1"/>
        <v/>
      </c>
      <c r="L25" s="12" t="str">
        <f t="shared" si="2"/>
        <v/>
      </c>
      <c r="M25" s="12" t="str">
        <f t="shared" si="3"/>
        <v/>
      </c>
      <c r="N25" s="12" t="str">
        <f t="shared" si="4"/>
        <v/>
      </c>
      <c r="O25" s="12" t="str">
        <f t="shared" si="5"/>
        <v/>
      </c>
      <c r="P25" s="12">
        <f t="shared" si="6"/>
        <v>0</v>
      </c>
      <c r="Q25" s="12" t="str">
        <f t="shared" si="7"/>
        <v>Low</v>
      </c>
      <c r="R25" s="13"/>
      <c r="S25" s="13"/>
      <c r="T25" s="13"/>
      <c r="U25" s="13"/>
      <c r="V25" s="12" t="str">
        <f t="shared" si="8"/>
        <v/>
      </c>
    </row>
    <row r="26" spans="4:22" x14ac:dyDescent="0.35">
      <c r="D26" s="11"/>
      <c r="E26" s="11"/>
      <c r="F26" s="11"/>
      <c r="G26" s="11"/>
      <c r="H26" s="11"/>
      <c r="I26" s="11"/>
      <c r="J26" s="12" t="str">
        <f t="shared" si="0"/>
        <v/>
      </c>
      <c r="K26" s="12" t="str">
        <f t="shared" si="1"/>
        <v/>
      </c>
      <c r="L26" s="12" t="str">
        <f t="shared" si="2"/>
        <v/>
      </c>
      <c r="M26" s="12" t="str">
        <f t="shared" si="3"/>
        <v/>
      </c>
      <c r="N26" s="12" t="str">
        <f t="shared" si="4"/>
        <v/>
      </c>
      <c r="O26" s="12" t="str">
        <f t="shared" si="5"/>
        <v/>
      </c>
      <c r="P26" s="12">
        <f t="shared" si="6"/>
        <v>0</v>
      </c>
      <c r="Q26" s="12" t="str">
        <f t="shared" si="7"/>
        <v>Low</v>
      </c>
      <c r="R26" s="13"/>
      <c r="S26" s="13"/>
      <c r="T26" s="13"/>
      <c r="U26" s="13"/>
      <c r="V26" s="12" t="str">
        <f t="shared" si="8"/>
        <v/>
      </c>
    </row>
    <row r="27" spans="4:22" x14ac:dyDescent="0.35">
      <c r="D27" s="11"/>
      <c r="E27" s="11"/>
      <c r="F27" s="11"/>
      <c r="G27" s="11"/>
      <c r="H27" s="11"/>
      <c r="I27" s="11"/>
      <c r="J27" s="12" t="str">
        <f t="shared" si="0"/>
        <v/>
      </c>
      <c r="K27" s="12" t="str">
        <f t="shared" si="1"/>
        <v/>
      </c>
      <c r="L27" s="12" t="str">
        <f t="shared" si="2"/>
        <v/>
      </c>
      <c r="M27" s="12" t="str">
        <f t="shared" si="3"/>
        <v/>
      </c>
      <c r="N27" s="12" t="str">
        <f t="shared" si="4"/>
        <v/>
      </c>
      <c r="O27" s="12" t="str">
        <f t="shared" si="5"/>
        <v/>
      </c>
      <c r="P27" s="12">
        <f t="shared" si="6"/>
        <v>0</v>
      </c>
      <c r="Q27" s="12" t="str">
        <f t="shared" si="7"/>
        <v>Low</v>
      </c>
      <c r="R27" s="13"/>
      <c r="S27" s="13"/>
      <c r="T27" s="13"/>
      <c r="U27" s="13"/>
      <c r="V27" s="12" t="str">
        <f t="shared" si="8"/>
        <v/>
      </c>
    </row>
    <row r="28" spans="4:22" x14ac:dyDescent="0.35">
      <c r="D28" s="11"/>
      <c r="E28" s="11"/>
      <c r="F28" s="11"/>
      <c r="G28" s="11"/>
      <c r="H28" s="11"/>
      <c r="I28" s="11"/>
      <c r="J28" s="12" t="str">
        <f t="shared" si="0"/>
        <v/>
      </c>
      <c r="K28" s="12" t="str">
        <f t="shared" si="1"/>
        <v/>
      </c>
      <c r="L28" s="12" t="str">
        <f t="shared" si="2"/>
        <v/>
      </c>
      <c r="M28" s="12" t="str">
        <f t="shared" si="3"/>
        <v/>
      </c>
      <c r="N28" s="12" t="str">
        <f t="shared" si="4"/>
        <v/>
      </c>
      <c r="O28" s="12" t="str">
        <f t="shared" si="5"/>
        <v/>
      </c>
      <c r="P28" s="12">
        <f t="shared" si="6"/>
        <v>0</v>
      </c>
      <c r="Q28" s="12" t="str">
        <f t="shared" si="7"/>
        <v>Low</v>
      </c>
      <c r="R28" s="13"/>
      <c r="S28" s="13"/>
      <c r="T28" s="13"/>
      <c r="U28" s="13"/>
      <c r="V28" s="12" t="str">
        <f t="shared" si="8"/>
        <v/>
      </c>
    </row>
    <row r="29" spans="4:22" x14ac:dyDescent="0.35">
      <c r="D29" s="11"/>
      <c r="E29" s="11"/>
      <c r="F29" s="11"/>
      <c r="G29" s="11"/>
      <c r="H29" s="11"/>
      <c r="I29" s="11"/>
      <c r="J29" s="12" t="str">
        <f t="shared" si="0"/>
        <v/>
      </c>
      <c r="K29" s="12" t="str">
        <f t="shared" si="1"/>
        <v/>
      </c>
      <c r="L29" s="12" t="str">
        <f t="shared" si="2"/>
        <v/>
      </c>
      <c r="M29" s="12" t="str">
        <f t="shared" si="3"/>
        <v/>
      </c>
      <c r="N29" s="12" t="str">
        <f t="shared" si="4"/>
        <v/>
      </c>
      <c r="O29" s="12" t="str">
        <f t="shared" si="5"/>
        <v/>
      </c>
      <c r="P29" s="12">
        <f t="shared" si="6"/>
        <v>0</v>
      </c>
      <c r="Q29" s="12" t="str">
        <f t="shared" si="7"/>
        <v>Low</v>
      </c>
      <c r="R29" s="13"/>
      <c r="S29" s="13"/>
      <c r="T29" s="13"/>
      <c r="U29" s="13"/>
      <c r="V29" s="12" t="str">
        <f t="shared" si="8"/>
        <v/>
      </c>
    </row>
    <row r="30" spans="4:22" x14ac:dyDescent="0.35">
      <c r="D30" s="11"/>
      <c r="E30" s="11"/>
      <c r="F30" s="11"/>
      <c r="G30" s="11"/>
      <c r="H30" s="11"/>
      <c r="I30" s="11"/>
      <c r="J30" s="12" t="str">
        <f t="shared" si="0"/>
        <v/>
      </c>
      <c r="K30" s="12" t="str">
        <f t="shared" si="1"/>
        <v/>
      </c>
      <c r="L30" s="12" t="str">
        <f t="shared" si="2"/>
        <v/>
      </c>
      <c r="M30" s="12" t="str">
        <f t="shared" si="3"/>
        <v/>
      </c>
      <c r="N30" s="12" t="str">
        <f t="shared" si="4"/>
        <v/>
      </c>
      <c r="O30" s="12" t="str">
        <f t="shared" si="5"/>
        <v/>
      </c>
      <c r="P30" s="12">
        <f t="shared" si="6"/>
        <v>0</v>
      </c>
      <c r="Q30" s="12" t="str">
        <f t="shared" si="7"/>
        <v>Low</v>
      </c>
      <c r="R30" s="13"/>
      <c r="S30" s="13"/>
      <c r="T30" s="13"/>
      <c r="U30" s="13"/>
      <c r="V30" s="12" t="str">
        <f t="shared" si="8"/>
        <v/>
      </c>
    </row>
    <row r="31" spans="4:22" x14ac:dyDescent="0.35">
      <c r="D31" s="11"/>
      <c r="E31" s="11"/>
      <c r="F31" s="11"/>
      <c r="G31" s="11"/>
      <c r="H31" s="11"/>
      <c r="I31" s="11"/>
      <c r="J31" s="12" t="str">
        <f t="shared" si="0"/>
        <v/>
      </c>
      <c r="K31" s="12" t="str">
        <f t="shared" si="1"/>
        <v/>
      </c>
      <c r="L31" s="12" t="str">
        <f t="shared" si="2"/>
        <v/>
      </c>
      <c r="M31" s="12" t="str">
        <f t="shared" si="3"/>
        <v/>
      </c>
      <c r="N31" s="12" t="str">
        <f t="shared" si="4"/>
        <v/>
      </c>
      <c r="O31" s="12" t="str">
        <f t="shared" si="5"/>
        <v/>
      </c>
      <c r="P31" s="12">
        <f t="shared" si="6"/>
        <v>0</v>
      </c>
      <c r="Q31" s="12" t="str">
        <f t="shared" si="7"/>
        <v>Low</v>
      </c>
      <c r="R31" s="13"/>
      <c r="S31" s="13"/>
      <c r="T31" s="13"/>
      <c r="U31" s="13"/>
      <c r="V31" s="12" t="str">
        <f t="shared" si="8"/>
        <v/>
      </c>
    </row>
    <row r="32" spans="4:22" x14ac:dyDescent="0.35">
      <c r="D32" s="11"/>
      <c r="E32" s="11"/>
      <c r="F32" s="11"/>
      <c r="G32" s="11"/>
      <c r="H32" s="11"/>
      <c r="I32" s="11"/>
      <c r="J32" s="12" t="str">
        <f t="shared" si="0"/>
        <v/>
      </c>
      <c r="K32" s="12" t="str">
        <f t="shared" si="1"/>
        <v/>
      </c>
      <c r="L32" s="12" t="str">
        <f t="shared" si="2"/>
        <v/>
      </c>
      <c r="M32" s="12" t="str">
        <f t="shared" si="3"/>
        <v/>
      </c>
      <c r="N32" s="12" t="str">
        <f t="shared" si="4"/>
        <v/>
      </c>
      <c r="O32" s="12" t="str">
        <f t="shared" si="5"/>
        <v/>
      </c>
      <c r="P32" s="12">
        <f t="shared" si="6"/>
        <v>0</v>
      </c>
      <c r="Q32" s="12" t="str">
        <f t="shared" si="7"/>
        <v>Low</v>
      </c>
      <c r="R32" s="13"/>
      <c r="S32" s="13"/>
      <c r="T32" s="13"/>
      <c r="U32" s="13"/>
      <c r="V32" s="12" t="str">
        <f t="shared" si="8"/>
        <v/>
      </c>
    </row>
    <row r="33" spans="4:22" x14ac:dyDescent="0.35">
      <c r="D33" s="11"/>
      <c r="E33" s="11"/>
      <c r="F33" s="11"/>
      <c r="G33" s="11"/>
      <c r="H33" s="11"/>
      <c r="I33" s="11"/>
      <c r="J33" s="12" t="str">
        <f t="shared" si="0"/>
        <v/>
      </c>
      <c r="K33" s="12" t="str">
        <f t="shared" si="1"/>
        <v/>
      </c>
      <c r="L33" s="12" t="str">
        <f t="shared" si="2"/>
        <v/>
      </c>
      <c r="M33" s="12" t="str">
        <f t="shared" si="3"/>
        <v/>
      </c>
      <c r="N33" s="12" t="str">
        <f t="shared" si="4"/>
        <v/>
      </c>
      <c r="O33" s="12" t="str">
        <f t="shared" si="5"/>
        <v/>
      </c>
      <c r="P33" s="12">
        <f t="shared" si="6"/>
        <v>0</v>
      </c>
      <c r="Q33" s="12" t="str">
        <f t="shared" si="7"/>
        <v>Low</v>
      </c>
      <c r="R33" s="13"/>
      <c r="S33" s="13"/>
      <c r="T33" s="13"/>
      <c r="U33" s="13"/>
      <c r="V33" s="12" t="str">
        <f t="shared" si="8"/>
        <v/>
      </c>
    </row>
    <row r="34" spans="4:22" x14ac:dyDescent="0.35">
      <c r="D34" s="11"/>
      <c r="E34" s="11"/>
      <c r="F34" s="11"/>
      <c r="G34" s="11"/>
      <c r="H34" s="11"/>
      <c r="I34" s="11"/>
      <c r="J34" s="12" t="str">
        <f t="shared" si="0"/>
        <v/>
      </c>
      <c r="K34" s="12" t="str">
        <f t="shared" si="1"/>
        <v/>
      </c>
      <c r="L34" s="12" t="str">
        <f t="shared" si="2"/>
        <v/>
      </c>
      <c r="M34" s="12" t="str">
        <f t="shared" si="3"/>
        <v/>
      </c>
      <c r="N34" s="12" t="str">
        <f t="shared" si="4"/>
        <v/>
      </c>
      <c r="O34" s="12" t="str">
        <f t="shared" si="5"/>
        <v/>
      </c>
      <c r="P34" s="12">
        <f t="shared" si="6"/>
        <v>0</v>
      </c>
      <c r="Q34" s="12" t="str">
        <f t="shared" si="7"/>
        <v>Low</v>
      </c>
      <c r="R34" s="13"/>
      <c r="S34" s="13"/>
      <c r="T34" s="13"/>
      <c r="U34" s="13"/>
      <c r="V34" s="12" t="str">
        <f t="shared" si="8"/>
        <v/>
      </c>
    </row>
    <row r="35" spans="4:22" x14ac:dyDescent="0.35">
      <c r="D35" s="11"/>
      <c r="E35" s="11"/>
      <c r="F35" s="11"/>
      <c r="G35" s="11"/>
      <c r="H35" s="11"/>
      <c r="I35" s="11"/>
      <c r="J35" s="12" t="str">
        <f t="shared" si="0"/>
        <v/>
      </c>
      <c r="K35" s="12" t="str">
        <f t="shared" si="1"/>
        <v/>
      </c>
      <c r="L35" s="12" t="str">
        <f t="shared" si="2"/>
        <v/>
      </c>
      <c r="M35" s="12" t="str">
        <f t="shared" si="3"/>
        <v/>
      </c>
      <c r="N35" s="12" t="str">
        <f t="shared" si="4"/>
        <v/>
      </c>
      <c r="O35" s="12" t="str">
        <f t="shared" si="5"/>
        <v/>
      </c>
      <c r="P35" s="12">
        <f t="shared" si="6"/>
        <v>0</v>
      </c>
      <c r="Q35" s="12" t="str">
        <f t="shared" si="7"/>
        <v>Low</v>
      </c>
      <c r="R35" s="13"/>
      <c r="S35" s="13"/>
      <c r="T35" s="13"/>
      <c r="U35" s="13"/>
      <c r="V35" s="12" t="str">
        <f t="shared" si="8"/>
        <v/>
      </c>
    </row>
    <row r="36" spans="4:22" x14ac:dyDescent="0.35">
      <c r="D36" s="11"/>
      <c r="E36" s="11"/>
      <c r="F36" s="11"/>
      <c r="G36" s="11"/>
      <c r="H36" s="11"/>
      <c r="I36" s="11"/>
      <c r="J36" s="12" t="str">
        <f t="shared" si="0"/>
        <v/>
      </c>
      <c r="K36" s="12" t="str">
        <f t="shared" si="1"/>
        <v/>
      </c>
      <c r="L36" s="12" t="str">
        <f t="shared" si="2"/>
        <v/>
      </c>
      <c r="M36" s="12" t="str">
        <f t="shared" si="3"/>
        <v/>
      </c>
      <c r="N36" s="12" t="str">
        <f t="shared" si="4"/>
        <v/>
      </c>
      <c r="O36" s="12" t="str">
        <f t="shared" si="5"/>
        <v/>
      </c>
      <c r="P36" s="12">
        <f t="shared" si="6"/>
        <v>0</v>
      </c>
      <c r="Q36" s="12" t="str">
        <f t="shared" si="7"/>
        <v>Low</v>
      </c>
      <c r="R36" s="13"/>
      <c r="S36" s="13"/>
      <c r="T36" s="13"/>
      <c r="U36" s="13"/>
      <c r="V36" s="12" t="str">
        <f t="shared" si="8"/>
        <v/>
      </c>
    </row>
    <row r="37" spans="4:22" x14ac:dyDescent="0.35">
      <c r="D37" s="11"/>
      <c r="E37" s="11"/>
      <c r="F37" s="11"/>
      <c r="G37" s="11"/>
      <c r="H37" s="11"/>
      <c r="I37" s="11"/>
      <c r="J37" s="12" t="str">
        <f t="shared" si="0"/>
        <v/>
      </c>
      <c r="K37" s="12" t="str">
        <f t="shared" si="1"/>
        <v/>
      </c>
      <c r="L37" s="12" t="str">
        <f t="shared" si="2"/>
        <v/>
      </c>
      <c r="M37" s="12" t="str">
        <f t="shared" si="3"/>
        <v/>
      </c>
      <c r="N37" s="12" t="str">
        <f t="shared" si="4"/>
        <v/>
      </c>
      <c r="O37" s="12" t="str">
        <f t="shared" si="5"/>
        <v/>
      </c>
      <c r="P37" s="12">
        <f t="shared" si="6"/>
        <v>0</v>
      </c>
      <c r="Q37" s="12" t="str">
        <f t="shared" si="7"/>
        <v>Low</v>
      </c>
      <c r="R37" s="13"/>
      <c r="S37" s="13"/>
      <c r="T37" s="13"/>
      <c r="U37" s="13"/>
      <c r="V37" s="12" t="str">
        <f t="shared" si="8"/>
        <v/>
      </c>
    </row>
    <row r="38" spans="4:22" x14ac:dyDescent="0.35">
      <c r="D38" s="11"/>
      <c r="E38" s="11"/>
      <c r="F38" s="11"/>
      <c r="G38" s="11"/>
      <c r="H38" s="11"/>
      <c r="I38" s="11"/>
      <c r="J38" s="12" t="str">
        <f t="shared" ref="J38:J69" si="9">IF(D38="Yes",3,IF(D38="No",0,""))</f>
        <v/>
      </c>
      <c r="K38" s="12" t="str">
        <f t="shared" ref="K38:K69" si="10">IF(E38="50+",4,IF(E38="20-50",3,IF(E38="5-20",2,IF(E38="1-5",1,IF(E38="0 / Not sure",0,"")))))</f>
        <v/>
      </c>
      <c r="L38" s="12" t="str">
        <f t="shared" ref="L38:L69" si="11">IF(F38="Yes",2,IF(F38="No",0,""))</f>
        <v/>
      </c>
      <c r="M38" s="12" t="str">
        <f t="shared" ref="M38:M69" si="12">IF(OR(G38="Electronics",G38="Computers",G38="Phones"),4,IF(OR(G38="Home &amp; Kitchen",G38="Beauty",G38="Fashion"),3,IF(OR(G38="Health",G38="Sports",G38="Tools"),3,IF(OR(G38="Grocery",G38="Baby",G38="Toys"),2,IF(G38="Other",0,"")))))</f>
        <v/>
      </c>
      <c r="N38" s="12" t="str">
        <f t="shared" ref="N38:N69" si="13">IF(H38="&gt; 5M SAR",4,IF(H38="1M - 5M SAR",3,IF(H38="500K - 1M SAR",2,IF(H38="&lt; 500K SAR",0,""))))</f>
        <v/>
      </c>
      <c r="O38" s="12" t="str">
        <f t="shared" ref="O38:O69" si="14">IF(I38="Yes",3,IF(I38="No",0,""))</f>
        <v/>
      </c>
      <c r="P38" s="12">
        <f t="shared" ref="P38:P69" si="15">IF(COUNTA(J38:O38)=6,SUM(J38:O38),"")</f>
        <v>0</v>
      </c>
      <c r="Q38" s="12" t="str">
        <f t="shared" ref="Q38:Q69" si="16">IF(P38="","",IF(P38&gt;14,"High",IF(P38&gt;=8,"Medium","Low")))</f>
        <v>Low</v>
      </c>
      <c r="R38" s="13"/>
      <c r="S38" s="13"/>
      <c r="T38" s="13"/>
      <c r="U38" s="13"/>
      <c r="V38" s="12" t="str">
        <f t="shared" ref="V38:V69" si="17">IF(U38="Yes","Launched",IF(T38="Yes","SIV Pass",IF(S38="Yes","Reg Complete",IF(R38="Yes","Reg Start",""))))</f>
        <v/>
      </c>
    </row>
    <row r="39" spans="4:22" x14ac:dyDescent="0.35">
      <c r="D39" s="11"/>
      <c r="E39" s="11"/>
      <c r="F39" s="11"/>
      <c r="G39" s="11"/>
      <c r="H39" s="11"/>
      <c r="I39" s="11"/>
      <c r="J39" s="12" t="str">
        <f t="shared" si="9"/>
        <v/>
      </c>
      <c r="K39" s="12" t="str">
        <f t="shared" si="10"/>
        <v/>
      </c>
      <c r="L39" s="12" t="str">
        <f t="shared" si="11"/>
        <v/>
      </c>
      <c r="M39" s="12" t="str">
        <f t="shared" si="12"/>
        <v/>
      </c>
      <c r="N39" s="12" t="str">
        <f t="shared" si="13"/>
        <v/>
      </c>
      <c r="O39" s="12" t="str">
        <f t="shared" si="14"/>
        <v/>
      </c>
      <c r="P39" s="12">
        <f t="shared" si="15"/>
        <v>0</v>
      </c>
      <c r="Q39" s="12" t="str">
        <f t="shared" si="16"/>
        <v>Low</v>
      </c>
      <c r="R39" s="13"/>
      <c r="S39" s="13"/>
      <c r="T39" s="13"/>
      <c r="U39" s="13"/>
      <c r="V39" s="12" t="str">
        <f t="shared" si="17"/>
        <v/>
      </c>
    </row>
    <row r="40" spans="4:22" x14ac:dyDescent="0.35">
      <c r="D40" s="11"/>
      <c r="E40" s="11"/>
      <c r="F40" s="11"/>
      <c r="G40" s="11"/>
      <c r="H40" s="11"/>
      <c r="I40" s="11"/>
      <c r="J40" s="12" t="str">
        <f t="shared" si="9"/>
        <v/>
      </c>
      <c r="K40" s="12" t="str">
        <f t="shared" si="10"/>
        <v/>
      </c>
      <c r="L40" s="12" t="str">
        <f t="shared" si="11"/>
        <v/>
      </c>
      <c r="M40" s="12" t="str">
        <f t="shared" si="12"/>
        <v/>
      </c>
      <c r="N40" s="12" t="str">
        <f t="shared" si="13"/>
        <v/>
      </c>
      <c r="O40" s="12" t="str">
        <f t="shared" si="14"/>
        <v/>
      </c>
      <c r="P40" s="12">
        <f t="shared" si="15"/>
        <v>0</v>
      </c>
      <c r="Q40" s="12" t="str">
        <f t="shared" si="16"/>
        <v>Low</v>
      </c>
      <c r="R40" s="13"/>
      <c r="S40" s="13"/>
      <c r="T40" s="13"/>
      <c r="U40" s="13"/>
      <c r="V40" s="12" t="str">
        <f t="shared" si="17"/>
        <v/>
      </c>
    </row>
    <row r="41" spans="4:22" x14ac:dyDescent="0.35">
      <c r="D41" s="11"/>
      <c r="E41" s="11"/>
      <c r="F41" s="11"/>
      <c r="G41" s="11"/>
      <c r="H41" s="11"/>
      <c r="I41" s="11"/>
      <c r="J41" s="12" t="str">
        <f t="shared" si="9"/>
        <v/>
      </c>
      <c r="K41" s="12" t="str">
        <f t="shared" si="10"/>
        <v/>
      </c>
      <c r="L41" s="12" t="str">
        <f t="shared" si="11"/>
        <v/>
      </c>
      <c r="M41" s="12" t="str">
        <f t="shared" si="12"/>
        <v/>
      </c>
      <c r="N41" s="12" t="str">
        <f t="shared" si="13"/>
        <v/>
      </c>
      <c r="O41" s="12" t="str">
        <f t="shared" si="14"/>
        <v/>
      </c>
      <c r="P41" s="12">
        <f t="shared" si="15"/>
        <v>0</v>
      </c>
      <c r="Q41" s="12" t="str">
        <f t="shared" si="16"/>
        <v>Low</v>
      </c>
      <c r="R41" s="13"/>
      <c r="S41" s="13"/>
      <c r="T41" s="13"/>
      <c r="U41" s="13"/>
      <c r="V41" s="12" t="str">
        <f t="shared" si="17"/>
        <v/>
      </c>
    </row>
    <row r="42" spans="4:22" x14ac:dyDescent="0.35">
      <c r="D42" s="11"/>
      <c r="E42" s="11"/>
      <c r="F42" s="11"/>
      <c r="G42" s="11"/>
      <c r="H42" s="11"/>
      <c r="I42" s="11"/>
      <c r="J42" s="12" t="str">
        <f t="shared" si="9"/>
        <v/>
      </c>
      <c r="K42" s="12" t="str">
        <f t="shared" si="10"/>
        <v/>
      </c>
      <c r="L42" s="12" t="str">
        <f t="shared" si="11"/>
        <v/>
      </c>
      <c r="M42" s="12" t="str">
        <f t="shared" si="12"/>
        <v/>
      </c>
      <c r="N42" s="12" t="str">
        <f t="shared" si="13"/>
        <v/>
      </c>
      <c r="O42" s="12" t="str">
        <f t="shared" si="14"/>
        <v/>
      </c>
      <c r="P42" s="12">
        <f t="shared" si="15"/>
        <v>0</v>
      </c>
      <c r="Q42" s="12" t="str">
        <f t="shared" si="16"/>
        <v>Low</v>
      </c>
      <c r="R42" s="13"/>
      <c r="S42" s="13"/>
      <c r="T42" s="13"/>
      <c r="U42" s="13"/>
      <c r="V42" s="12" t="str">
        <f t="shared" si="17"/>
        <v/>
      </c>
    </row>
    <row r="43" spans="4:22" x14ac:dyDescent="0.35">
      <c r="D43" s="11"/>
      <c r="E43" s="11"/>
      <c r="F43" s="11"/>
      <c r="G43" s="11"/>
      <c r="H43" s="11"/>
      <c r="I43" s="11"/>
      <c r="J43" s="12" t="str">
        <f t="shared" si="9"/>
        <v/>
      </c>
      <c r="K43" s="12" t="str">
        <f t="shared" si="10"/>
        <v/>
      </c>
      <c r="L43" s="12" t="str">
        <f t="shared" si="11"/>
        <v/>
      </c>
      <c r="M43" s="12" t="str">
        <f t="shared" si="12"/>
        <v/>
      </c>
      <c r="N43" s="12" t="str">
        <f t="shared" si="13"/>
        <v/>
      </c>
      <c r="O43" s="12" t="str">
        <f t="shared" si="14"/>
        <v/>
      </c>
      <c r="P43" s="12">
        <f t="shared" si="15"/>
        <v>0</v>
      </c>
      <c r="Q43" s="12" t="str">
        <f t="shared" si="16"/>
        <v>Low</v>
      </c>
      <c r="R43" s="13"/>
      <c r="S43" s="13"/>
      <c r="T43" s="13"/>
      <c r="U43" s="13"/>
      <c r="V43" s="12" t="str">
        <f t="shared" si="17"/>
        <v/>
      </c>
    </row>
    <row r="44" spans="4:22" x14ac:dyDescent="0.35">
      <c r="D44" s="11"/>
      <c r="E44" s="11"/>
      <c r="F44" s="11"/>
      <c r="G44" s="11"/>
      <c r="H44" s="11"/>
      <c r="I44" s="11"/>
      <c r="J44" s="12" t="str">
        <f t="shared" si="9"/>
        <v/>
      </c>
      <c r="K44" s="12" t="str">
        <f t="shared" si="10"/>
        <v/>
      </c>
      <c r="L44" s="12" t="str">
        <f t="shared" si="11"/>
        <v/>
      </c>
      <c r="M44" s="12" t="str">
        <f t="shared" si="12"/>
        <v/>
      </c>
      <c r="N44" s="12" t="str">
        <f t="shared" si="13"/>
        <v/>
      </c>
      <c r="O44" s="12" t="str">
        <f t="shared" si="14"/>
        <v/>
      </c>
      <c r="P44" s="12">
        <f t="shared" si="15"/>
        <v>0</v>
      </c>
      <c r="Q44" s="12" t="str">
        <f t="shared" si="16"/>
        <v>Low</v>
      </c>
      <c r="R44" s="13"/>
      <c r="S44" s="13"/>
      <c r="T44" s="13"/>
      <c r="U44" s="13"/>
      <c r="V44" s="12" t="str">
        <f t="shared" si="17"/>
        <v/>
      </c>
    </row>
    <row r="45" spans="4:22" x14ac:dyDescent="0.35">
      <c r="D45" s="11"/>
      <c r="E45" s="11"/>
      <c r="F45" s="11"/>
      <c r="G45" s="11"/>
      <c r="H45" s="11"/>
      <c r="I45" s="11"/>
      <c r="J45" s="12" t="str">
        <f t="shared" si="9"/>
        <v/>
      </c>
      <c r="K45" s="12" t="str">
        <f t="shared" si="10"/>
        <v/>
      </c>
      <c r="L45" s="12" t="str">
        <f t="shared" si="11"/>
        <v/>
      </c>
      <c r="M45" s="12" t="str">
        <f t="shared" si="12"/>
        <v/>
      </c>
      <c r="N45" s="12" t="str">
        <f t="shared" si="13"/>
        <v/>
      </c>
      <c r="O45" s="12" t="str">
        <f t="shared" si="14"/>
        <v/>
      </c>
      <c r="P45" s="12">
        <f t="shared" si="15"/>
        <v>0</v>
      </c>
      <c r="Q45" s="12" t="str">
        <f t="shared" si="16"/>
        <v>Low</v>
      </c>
      <c r="R45" s="13"/>
      <c r="S45" s="13"/>
      <c r="T45" s="13"/>
      <c r="U45" s="13"/>
      <c r="V45" s="12" t="str">
        <f t="shared" si="17"/>
        <v/>
      </c>
    </row>
    <row r="46" spans="4:22" x14ac:dyDescent="0.35">
      <c r="D46" s="11"/>
      <c r="E46" s="11"/>
      <c r="F46" s="11"/>
      <c r="G46" s="11"/>
      <c r="H46" s="11"/>
      <c r="I46" s="11"/>
      <c r="J46" s="12" t="str">
        <f t="shared" si="9"/>
        <v/>
      </c>
      <c r="K46" s="12" t="str">
        <f t="shared" si="10"/>
        <v/>
      </c>
      <c r="L46" s="12" t="str">
        <f t="shared" si="11"/>
        <v/>
      </c>
      <c r="M46" s="12" t="str">
        <f t="shared" si="12"/>
        <v/>
      </c>
      <c r="N46" s="12" t="str">
        <f t="shared" si="13"/>
        <v/>
      </c>
      <c r="O46" s="12" t="str">
        <f t="shared" si="14"/>
        <v/>
      </c>
      <c r="P46" s="12">
        <f t="shared" si="15"/>
        <v>0</v>
      </c>
      <c r="Q46" s="12" t="str">
        <f t="shared" si="16"/>
        <v>Low</v>
      </c>
      <c r="R46" s="13"/>
      <c r="S46" s="13"/>
      <c r="T46" s="13"/>
      <c r="U46" s="13"/>
      <c r="V46" s="12" t="str">
        <f t="shared" si="17"/>
        <v/>
      </c>
    </row>
    <row r="47" spans="4:22" x14ac:dyDescent="0.35">
      <c r="D47" s="11"/>
      <c r="E47" s="11"/>
      <c r="F47" s="11"/>
      <c r="G47" s="11"/>
      <c r="H47" s="11"/>
      <c r="I47" s="11"/>
      <c r="J47" s="12" t="str">
        <f t="shared" si="9"/>
        <v/>
      </c>
      <c r="K47" s="12" t="str">
        <f t="shared" si="10"/>
        <v/>
      </c>
      <c r="L47" s="12" t="str">
        <f t="shared" si="11"/>
        <v/>
      </c>
      <c r="M47" s="12" t="str">
        <f t="shared" si="12"/>
        <v/>
      </c>
      <c r="N47" s="12" t="str">
        <f t="shared" si="13"/>
        <v/>
      </c>
      <c r="O47" s="12" t="str">
        <f t="shared" si="14"/>
        <v/>
      </c>
      <c r="P47" s="12">
        <f t="shared" si="15"/>
        <v>0</v>
      </c>
      <c r="Q47" s="12" t="str">
        <f t="shared" si="16"/>
        <v>Low</v>
      </c>
      <c r="R47" s="13"/>
      <c r="S47" s="13"/>
      <c r="T47" s="13"/>
      <c r="U47" s="13"/>
      <c r="V47" s="12" t="str">
        <f t="shared" si="17"/>
        <v/>
      </c>
    </row>
    <row r="48" spans="4:22" x14ac:dyDescent="0.35">
      <c r="D48" s="11"/>
      <c r="E48" s="11"/>
      <c r="F48" s="11"/>
      <c r="G48" s="11"/>
      <c r="H48" s="11"/>
      <c r="I48" s="11"/>
      <c r="J48" s="12" t="str">
        <f t="shared" si="9"/>
        <v/>
      </c>
      <c r="K48" s="12" t="str">
        <f t="shared" si="10"/>
        <v/>
      </c>
      <c r="L48" s="12" t="str">
        <f t="shared" si="11"/>
        <v/>
      </c>
      <c r="M48" s="12" t="str">
        <f t="shared" si="12"/>
        <v/>
      </c>
      <c r="N48" s="12" t="str">
        <f t="shared" si="13"/>
        <v/>
      </c>
      <c r="O48" s="12" t="str">
        <f t="shared" si="14"/>
        <v/>
      </c>
      <c r="P48" s="12">
        <f t="shared" si="15"/>
        <v>0</v>
      </c>
      <c r="Q48" s="12" t="str">
        <f t="shared" si="16"/>
        <v>Low</v>
      </c>
      <c r="R48" s="13"/>
      <c r="S48" s="13"/>
      <c r="T48" s="13"/>
      <c r="U48" s="13"/>
      <c r="V48" s="12" t="str">
        <f t="shared" si="17"/>
        <v/>
      </c>
    </row>
    <row r="49" spans="4:22" x14ac:dyDescent="0.35">
      <c r="D49" s="11"/>
      <c r="E49" s="11"/>
      <c r="F49" s="11"/>
      <c r="G49" s="11"/>
      <c r="H49" s="11"/>
      <c r="I49" s="11"/>
      <c r="J49" s="12" t="str">
        <f t="shared" si="9"/>
        <v/>
      </c>
      <c r="K49" s="12" t="str">
        <f t="shared" si="10"/>
        <v/>
      </c>
      <c r="L49" s="12" t="str">
        <f t="shared" si="11"/>
        <v/>
      </c>
      <c r="M49" s="12" t="str">
        <f t="shared" si="12"/>
        <v/>
      </c>
      <c r="N49" s="12" t="str">
        <f t="shared" si="13"/>
        <v/>
      </c>
      <c r="O49" s="12" t="str">
        <f t="shared" si="14"/>
        <v/>
      </c>
      <c r="P49" s="12">
        <f t="shared" si="15"/>
        <v>0</v>
      </c>
      <c r="Q49" s="12" t="str">
        <f t="shared" si="16"/>
        <v>Low</v>
      </c>
      <c r="R49" s="13"/>
      <c r="S49" s="13"/>
      <c r="T49" s="13"/>
      <c r="U49" s="13"/>
      <c r="V49" s="12" t="str">
        <f t="shared" si="17"/>
        <v/>
      </c>
    </row>
    <row r="50" spans="4:22" x14ac:dyDescent="0.35">
      <c r="D50" s="11"/>
      <c r="E50" s="11"/>
      <c r="F50" s="11"/>
      <c r="G50" s="11"/>
      <c r="H50" s="11"/>
      <c r="I50" s="11"/>
      <c r="J50" s="12" t="str">
        <f t="shared" si="9"/>
        <v/>
      </c>
      <c r="K50" s="12" t="str">
        <f t="shared" si="10"/>
        <v/>
      </c>
      <c r="L50" s="12" t="str">
        <f t="shared" si="11"/>
        <v/>
      </c>
      <c r="M50" s="12" t="str">
        <f t="shared" si="12"/>
        <v/>
      </c>
      <c r="N50" s="12" t="str">
        <f t="shared" si="13"/>
        <v/>
      </c>
      <c r="O50" s="12" t="str">
        <f t="shared" si="14"/>
        <v/>
      </c>
      <c r="P50" s="12">
        <f t="shared" si="15"/>
        <v>0</v>
      </c>
      <c r="Q50" s="12" t="str">
        <f t="shared" si="16"/>
        <v>Low</v>
      </c>
      <c r="R50" s="13"/>
      <c r="S50" s="13"/>
      <c r="T50" s="13"/>
      <c r="U50" s="13"/>
      <c r="V50" s="12" t="str">
        <f t="shared" si="17"/>
        <v/>
      </c>
    </row>
    <row r="51" spans="4:22" x14ac:dyDescent="0.35">
      <c r="D51" s="11"/>
      <c r="E51" s="11"/>
      <c r="F51" s="11"/>
      <c r="G51" s="11"/>
      <c r="H51" s="11"/>
      <c r="I51" s="11"/>
      <c r="J51" s="12" t="str">
        <f t="shared" si="9"/>
        <v/>
      </c>
      <c r="K51" s="12" t="str">
        <f t="shared" si="10"/>
        <v/>
      </c>
      <c r="L51" s="12" t="str">
        <f t="shared" si="11"/>
        <v/>
      </c>
      <c r="M51" s="12" t="str">
        <f t="shared" si="12"/>
        <v/>
      </c>
      <c r="N51" s="12" t="str">
        <f t="shared" si="13"/>
        <v/>
      </c>
      <c r="O51" s="12" t="str">
        <f t="shared" si="14"/>
        <v/>
      </c>
      <c r="P51" s="12">
        <f t="shared" si="15"/>
        <v>0</v>
      </c>
      <c r="Q51" s="12" t="str">
        <f t="shared" si="16"/>
        <v>Low</v>
      </c>
      <c r="R51" s="13"/>
      <c r="S51" s="13"/>
      <c r="T51" s="13"/>
      <c r="U51" s="13"/>
      <c r="V51" s="12" t="str">
        <f t="shared" si="17"/>
        <v/>
      </c>
    </row>
    <row r="52" spans="4:22" x14ac:dyDescent="0.35">
      <c r="D52" s="11"/>
      <c r="E52" s="11"/>
      <c r="F52" s="11"/>
      <c r="G52" s="11"/>
      <c r="H52" s="11"/>
      <c r="I52" s="11"/>
      <c r="J52" s="12" t="str">
        <f t="shared" si="9"/>
        <v/>
      </c>
      <c r="K52" s="12" t="str">
        <f t="shared" si="10"/>
        <v/>
      </c>
      <c r="L52" s="12" t="str">
        <f t="shared" si="11"/>
        <v/>
      </c>
      <c r="M52" s="12" t="str">
        <f t="shared" si="12"/>
        <v/>
      </c>
      <c r="N52" s="12" t="str">
        <f t="shared" si="13"/>
        <v/>
      </c>
      <c r="O52" s="12" t="str">
        <f t="shared" si="14"/>
        <v/>
      </c>
      <c r="P52" s="12">
        <f t="shared" si="15"/>
        <v>0</v>
      </c>
      <c r="Q52" s="12" t="str">
        <f t="shared" si="16"/>
        <v>Low</v>
      </c>
      <c r="R52" s="13"/>
      <c r="S52" s="13"/>
      <c r="T52" s="13"/>
      <c r="U52" s="13"/>
      <c r="V52" s="12" t="str">
        <f t="shared" si="17"/>
        <v/>
      </c>
    </row>
    <row r="53" spans="4:22" x14ac:dyDescent="0.35">
      <c r="D53" s="11"/>
      <c r="E53" s="11"/>
      <c r="F53" s="11"/>
      <c r="G53" s="11"/>
      <c r="H53" s="11"/>
      <c r="I53" s="11"/>
      <c r="J53" s="12" t="str">
        <f t="shared" si="9"/>
        <v/>
      </c>
      <c r="K53" s="12" t="str">
        <f t="shared" si="10"/>
        <v/>
      </c>
      <c r="L53" s="12" t="str">
        <f t="shared" si="11"/>
        <v/>
      </c>
      <c r="M53" s="12" t="str">
        <f t="shared" si="12"/>
        <v/>
      </c>
      <c r="N53" s="12" t="str">
        <f t="shared" si="13"/>
        <v/>
      </c>
      <c r="O53" s="12" t="str">
        <f t="shared" si="14"/>
        <v/>
      </c>
      <c r="P53" s="12">
        <f t="shared" si="15"/>
        <v>0</v>
      </c>
      <c r="Q53" s="12" t="str">
        <f t="shared" si="16"/>
        <v>Low</v>
      </c>
      <c r="R53" s="13"/>
      <c r="S53" s="13"/>
      <c r="T53" s="13"/>
      <c r="U53" s="13"/>
      <c r="V53" s="12" t="str">
        <f t="shared" si="17"/>
        <v/>
      </c>
    </row>
    <row r="54" spans="4:22" x14ac:dyDescent="0.35">
      <c r="D54" s="11"/>
      <c r="E54" s="11"/>
      <c r="F54" s="11"/>
      <c r="G54" s="11"/>
      <c r="H54" s="11"/>
      <c r="I54" s="11"/>
      <c r="J54" s="12" t="str">
        <f t="shared" si="9"/>
        <v/>
      </c>
      <c r="K54" s="12" t="str">
        <f t="shared" si="10"/>
        <v/>
      </c>
      <c r="L54" s="12" t="str">
        <f t="shared" si="11"/>
        <v/>
      </c>
      <c r="M54" s="12" t="str">
        <f t="shared" si="12"/>
        <v/>
      </c>
      <c r="N54" s="12" t="str">
        <f t="shared" si="13"/>
        <v/>
      </c>
      <c r="O54" s="12" t="str">
        <f t="shared" si="14"/>
        <v/>
      </c>
      <c r="P54" s="12">
        <f t="shared" si="15"/>
        <v>0</v>
      </c>
      <c r="Q54" s="12" t="str">
        <f t="shared" si="16"/>
        <v>Low</v>
      </c>
      <c r="R54" s="13"/>
      <c r="S54" s="13"/>
      <c r="T54" s="13"/>
      <c r="U54" s="13"/>
      <c r="V54" s="12" t="str">
        <f t="shared" si="17"/>
        <v/>
      </c>
    </row>
    <row r="55" spans="4:22" x14ac:dyDescent="0.35">
      <c r="D55" s="11"/>
      <c r="E55" s="11"/>
      <c r="F55" s="11"/>
      <c r="G55" s="11"/>
      <c r="H55" s="11"/>
      <c r="I55" s="11"/>
      <c r="J55" s="12" t="str">
        <f t="shared" si="9"/>
        <v/>
      </c>
      <c r="K55" s="12" t="str">
        <f t="shared" si="10"/>
        <v/>
      </c>
      <c r="L55" s="12" t="str">
        <f t="shared" si="11"/>
        <v/>
      </c>
      <c r="M55" s="12" t="str">
        <f t="shared" si="12"/>
        <v/>
      </c>
      <c r="N55" s="12" t="str">
        <f t="shared" si="13"/>
        <v/>
      </c>
      <c r="O55" s="12" t="str">
        <f t="shared" si="14"/>
        <v/>
      </c>
      <c r="P55" s="12">
        <f t="shared" si="15"/>
        <v>0</v>
      </c>
      <c r="Q55" s="12" t="str">
        <f t="shared" si="16"/>
        <v>Low</v>
      </c>
      <c r="R55" s="13"/>
      <c r="S55" s="13"/>
      <c r="T55" s="13"/>
      <c r="U55" s="13"/>
      <c r="V55" s="12" t="str">
        <f t="shared" si="17"/>
        <v/>
      </c>
    </row>
    <row r="56" spans="4:22" x14ac:dyDescent="0.35">
      <c r="D56" s="11"/>
      <c r="E56" s="11"/>
      <c r="F56" s="11"/>
      <c r="G56" s="11"/>
      <c r="H56" s="11"/>
      <c r="I56" s="11"/>
      <c r="J56" s="12" t="str">
        <f t="shared" si="9"/>
        <v/>
      </c>
      <c r="K56" s="12" t="str">
        <f t="shared" si="10"/>
        <v/>
      </c>
      <c r="L56" s="12" t="str">
        <f t="shared" si="11"/>
        <v/>
      </c>
      <c r="M56" s="12" t="str">
        <f t="shared" si="12"/>
        <v/>
      </c>
      <c r="N56" s="12" t="str">
        <f t="shared" si="13"/>
        <v/>
      </c>
      <c r="O56" s="12" t="str">
        <f t="shared" si="14"/>
        <v/>
      </c>
      <c r="P56" s="12">
        <f t="shared" si="15"/>
        <v>0</v>
      </c>
      <c r="Q56" s="12" t="str">
        <f t="shared" si="16"/>
        <v>Low</v>
      </c>
      <c r="R56" s="13"/>
      <c r="S56" s="13"/>
      <c r="T56" s="13"/>
      <c r="U56" s="13"/>
      <c r="V56" s="12" t="str">
        <f t="shared" si="17"/>
        <v/>
      </c>
    </row>
    <row r="57" spans="4:22" x14ac:dyDescent="0.35">
      <c r="D57" s="11"/>
      <c r="E57" s="11"/>
      <c r="F57" s="11"/>
      <c r="G57" s="11"/>
      <c r="H57" s="11"/>
      <c r="I57" s="11"/>
      <c r="J57" s="12" t="str">
        <f t="shared" si="9"/>
        <v/>
      </c>
      <c r="K57" s="12" t="str">
        <f t="shared" si="10"/>
        <v/>
      </c>
      <c r="L57" s="12" t="str">
        <f t="shared" si="11"/>
        <v/>
      </c>
      <c r="M57" s="12" t="str">
        <f t="shared" si="12"/>
        <v/>
      </c>
      <c r="N57" s="12" t="str">
        <f t="shared" si="13"/>
        <v/>
      </c>
      <c r="O57" s="12" t="str">
        <f t="shared" si="14"/>
        <v/>
      </c>
      <c r="P57" s="12">
        <f t="shared" si="15"/>
        <v>0</v>
      </c>
      <c r="Q57" s="12" t="str">
        <f t="shared" si="16"/>
        <v>Low</v>
      </c>
      <c r="R57" s="13"/>
      <c r="S57" s="13"/>
      <c r="T57" s="13"/>
      <c r="U57" s="13"/>
      <c r="V57" s="12" t="str">
        <f t="shared" si="17"/>
        <v/>
      </c>
    </row>
    <row r="58" spans="4:22" x14ac:dyDescent="0.35">
      <c r="D58" s="11"/>
      <c r="E58" s="11"/>
      <c r="F58" s="11"/>
      <c r="G58" s="11"/>
      <c r="H58" s="11"/>
      <c r="I58" s="11"/>
      <c r="J58" s="12" t="str">
        <f t="shared" si="9"/>
        <v/>
      </c>
      <c r="K58" s="12" t="str">
        <f t="shared" si="10"/>
        <v/>
      </c>
      <c r="L58" s="12" t="str">
        <f t="shared" si="11"/>
        <v/>
      </c>
      <c r="M58" s="12" t="str">
        <f t="shared" si="12"/>
        <v/>
      </c>
      <c r="N58" s="12" t="str">
        <f t="shared" si="13"/>
        <v/>
      </c>
      <c r="O58" s="12" t="str">
        <f t="shared" si="14"/>
        <v/>
      </c>
      <c r="P58" s="12">
        <f t="shared" si="15"/>
        <v>0</v>
      </c>
      <c r="Q58" s="12" t="str">
        <f t="shared" si="16"/>
        <v>Low</v>
      </c>
      <c r="R58" s="13"/>
      <c r="S58" s="13"/>
      <c r="T58" s="13"/>
      <c r="U58" s="13"/>
      <c r="V58" s="12" t="str">
        <f t="shared" si="17"/>
        <v/>
      </c>
    </row>
    <row r="59" spans="4:22" x14ac:dyDescent="0.35">
      <c r="D59" s="11"/>
      <c r="E59" s="11"/>
      <c r="F59" s="11"/>
      <c r="G59" s="11"/>
      <c r="H59" s="11"/>
      <c r="I59" s="11"/>
      <c r="J59" s="12" t="str">
        <f t="shared" si="9"/>
        <v/>
      </c>
      <c r="K59" s="12" t="str">
        <f t="shared" si="10"/>
        <v/>
      </c>
      <c r="L59" s="12" t="str">
        <f t="shared" si="11"/>
        <v/>
      </c>
      <c r="M59" s="12" t="str">
        <f t="shared" si="12"/>
        <v/>
      </c>
      <c r="N59" s="12" t="str">
        <f t="shared" si="13"/>
        <v/>
      </c>
      <c r="O59" s="12" t="str">
        <f t="shared" si="14"/>
        <v/>
      </c>
      <c r="P59" s="12">
        <f t="shared" si="15"/>
        <v>0</v>
      </c>
      <c r="Q59" s="12" t="str">
        <f t="shared" si="16"/>
        <v>Low</v>
      </c>
      <c r="R59" s="13"/>
      <c r="S59" s="13"/>
      <c r="T59" s="13"/>
      <c r="U59" s="13"/>
      <c r="V59" s="12" t="str">
        <f t="shared" si="17"/>
        <v/>
      </c>
    </row>
    <row r="60" spans="4:22" x14ac:dyDescent="0.35">
      <c r="D60" s="11"/>
      <c r="E60" s="11"/>
      <c r="F60" s="11"/>
      <c r="G60" s="11"/>
      <c r="H60" s="11"/>
      <c r="I60" s="11"/>
      <c r="J60" s="12" t="str">
        <f t="shared" si="9"/>
        <v/>
      </c>
      <c r="K60" s="12" t="str">
        <f t="shared" si="10"/>
        <v/>
      </c>
      <c r="L60" s="12" t="str">
        <f t="shared" si="11"/>
        <v/>
      </c>
      <c r="M60" s="12" t="str">
        <f t="shared" si="12"/>
        <v/>
      </c>
      <c r="N60" s="12" t="str">
        <f t="shared" si="13"/>
        <v/>
      </c>
      <c r="O60" s="12" t="str">
        <f t="shared" si="14"/>
        <v/>
      </c>
      <c r="P60" s="12">
        <f t="shared" si="15"/>
        <v>0</v>
      </c>
      <c r="Q60" s="12" t="str">
        <f t="shared" si="16"/>
        <v>Low</v>
      </c>
      <c r="R60" s="13"/>
      <c r="S60" s="13"/>
      <c r="T60" s="13"/>
      <c r="U60" s="13"/>
      <c r="V60" s="12" t="str">
        <f t="shared" si="17"/>
        <v/>
      </c>
    </row>
    <row r="61" spans="4:22" x14ac:dyDescent="0.35">
      <c r="D61" s="11"/>
      <c r="E61" s="11"/>
      <c r="F61" s="11"/>
      <c r="G61" s="11"/>
      <c r="H61" s="11"/>
      <c r="I61" s="11"/>
      <c r="J61" s="12" t="str">
        <f t="shared" si="9"/>
        <v/>
      </c>
      <c r="K61" s="12" t="str">
        <f t="shared" si="10"/>
        <v/>
      </c>
      <c r="L61" s="12" t="str">
        <f t="shared" si="11"/>
        <v/>
      </c>
      <c r="M61" s="12" t="str">
        <f t="shared" si="12"/>
        <v/>
      </c>
      <c r="N61" s="12" t="str">
        <f t="shared" si="13"/>
        <v/>
      </c>
      <c r="O61" s="12" t="str">
        <f t="shared" si="14"/>
        <v/>
      </c>
      <c r="P61" s="12">
        <f t="shared" si="15"/>
        <v>0</v>
      </c>
      <c r="Q61" s="12" t="str">
        <f t="shared" si="16"/>
        <v>Low</v>
      </c>
      <c r="R61" s="13"/>
      <c r="S61" s="13"/>
      <c r="T61" s="13"/>
      <c r="U61" s="13"/>
      <c r="V61" s="12" t="str">
        <f t="shared" si="17"/>
        <v/>
      </c>
    </row>
    <row r="62" spans="4:22" x14ac:dyDescent="0.35">
      <c r="D62" s="11"/>
      <c r="E62" s="11"/>
      <c r="F62" s="11"/>
      <c r="G62" s="11"/>
      <c r="H62" s="11"/>
      <c r="I62" s="11"/>
      <c r="J62" s="12" t="str">
        <f t="shared" si="9"/>
        <v/>
      </c>
      <c r="K62" s="12" t="str">
        <f t="shared" si="10"/>
        <v/>
      </c>
      <c r="L62" s="12" t="str">
        <f t="shared" si="11"/>
        <v/>
      </c>
      <c r="M62" s="12" t="str">
        <f t="shared" si="12"/>
        <v/>
      </c>
      <c r="N62" s="12" t="str">
        <f t="shared" si="13"/>
        <v/>
      </c>
      <c r="O62" s="12" t="str">
        <f t="shared" si="14"/>
        <v/>
      </c>
      <c r="P62" s="12">
        <f t="shared" si="15"/>
        <v>0</v>
      </c>
      <c r="Q62" s="12" t="str">
        <f t="shared" si="16"/>
        <v>Low</v>
      </c>
      <c r="R62" s="13"/>
      <c r="S62" s="13"/>
      <c r="T62" s="13"/>
      <c r="U62" s="13"/>
      <c r="V62" s="12" t="str">
        <f t="shared" si="17"/>
        <v/>
      </c>
    </row>
    <row r="63" spans="4:22" x14ac:dyDescent="0.35">
      <c r="D63" s="11"/>
      <c r="E63" s="11"/>
      <c r="F63" s="11"/>
      <c r="G63" s="11"/>
      <c r="H63" s="11"/>
      <c r="I63" s="11"/>
      <c r="J63" s="12" t="str">
        <f t="shared" si="9"/>
        <v/>
      </c>
      <c r="K63" s="12" t="str">
        <f t="shared" si="10"/>
        <v/>
      </c>
      <c r="L63" s="12" t="str">
        <f t="shared" si="11"/>
        <v/>
      </c>
      <c r="M63" s="12" t="str">
        <f t="shared" si="12"/>
        <v/>
      </c>
      <c r="N63" s="12" t="str">
        <f t="shared" si="13"/>
        <v/>
      </c>
      <c r="O63" s="12" t="str">
        <f t="shared" si="14"/>
        <v/>
      </c>
      <c r="P63" s="12">
        <f t="shared" si="15"/>
        <v>0</v>
      </c>
      <c r="Q63" s="12" t="str">
        <f t="shared" si="16"/>
        <v>Low</v>
      </c>
      <c r="R63" s="13"/>
      <c r="S63" s="13"/>
      <c r="T63" s="13"/>
      <c r="U63" s="13"/>
      <c r="V63" s="12" t="str">
        <f t="shared" si="17"/>
        <v/>
      </c>
    </row>
    <row r="64" spans="4:22" x14ac:dyDescent="0.35">
      <c r="D64" s="11"/>
      <c r="E64" s="11"/>
      <c r="F64" s="11"/>
      <c r="G64" s="11"/>
      <c r="H64" s="11"/>
      <c r="I64" s="11"/>
      <c r="J64" s="12" t="str">
        <f t="shared" si="9"/>
        <v/>
      </c>
      <c r="K64" s="12" t="str">
        <f t="shared" si="10"/>
        <v/>
      </c>
      <c r="L64" s="12" t="str">
        <f t="shared" si="11"/>
        <v/>
      </c>
      <c r="M64" s="12" t="str">
        <f t="shared" si="12"/>
        <v/>
      </c>
      <c r="N64" s="12" t="str">
        <f t="shared" si="13"/>
        <v/>
      </c>
      <c r="O64" s="12" t="str">
        <f t="shared" si="14"/>
        <v/>
      </c>
      <c r="P64" s="12">
        <f t="shared" si="15"/>
        <v>0</v>
      </c>
      <c r="Q64" s="12" t="str">
        <f t="shared" si="16"/>
        <v>Low</v>
      </c>
      <c r="R64" s="13"/>
      <c r="S64" s="13"/>
      <c r="T64" s="13"/>
      <c r="U64" s="13"/>
      <c r="V64" s="12" t="str">
        <f t="shared" si="17"/>
        <v/>
      </c>
    </row>
    <row r="65" spans="4:22" x14ac:dyDescent="0.35">
      <c r="D65" s="11"/>
      <c r="E65" s="11"/>
      <c r="F65" s="11"/>
      <c r="G65" s="11"/>
      <c r="H65" s="11"/>
      <c r="I65" s="11"/>
      <c r="J65" s="12" t="str">
        <f t="shared" si="9"/>
        <v/>
      </c>
      <c r="K65" s="12" t="str">
        <f t="shared" si="10"/>
        <v/>
      </c>
      <c r="L65" s="12" t="str">
        <f t="shared" si="11"/>
        <v/>
      </c>
      <c r="M65" s="12" t="str">
        <f t="shared" si="12"/>
        <v/>
      </c>
      <c r="N65" s="12" t="str">
        <f t="shared" si="13"/>
        <v/>
      </c>
      <c r="O65" s="12" t="str">
        <f t="shared" si="14"/>
        <v/>
      </c>
      <c r="P65" s="12">
        <f t="shared" si="15"/>
        <v>0</v>
      </c>
      <c r="Q65" s="12" t="str">
        <f t="shared" si="16"/>
        <v>Low</v>
      </c>
      <c r="R65" s="13"/>
      <c r="S65" s="13"/>
      <c r="T65" s="13"/>
      <c r="U65" s="13"/>
      <c r="V65" s="12" t="str">
        <f t="shared" si="17"/>
        <v/>
      </c>
    </row>
    <row r="66" spans="4:22" x14ac:dyDescent="0.35">
      <c r="D66" s="11"/>
      <c r="E66" s="11"/>
      <c r="F66" s="11"/>
      <c r="G66" s="11"/>
      <c r="H66" s="11"/>
      <c r="I66" s="11"/>
      <c r="J66" s="12" t="str">
        <f t="shared" si="9"/>
        <v/>
      </c>
      <c r="K66" s="12" t="str">
        <f t="shared" si="10"/>
        <v/>
      </c>
      <c r="L66" s="12" t="str">
        <f t="shared" si="11"/>
        <v/>
      </c>
      <c r="M66" s="12" t="str">
        <f t="shared" si="12"/>
        <v/>
      </c>
      <c r="N66" s="12" t="str">
        <f t="shared" si="13"/>
        <v/>
      </c>
      <c r="O66" s="12" t="str">
        <f t="shared" si="14"/>
        <v/>
      </c>
      <c r="P66" s="12">
        <f t="shared" si="15"/>
        <v>0</v>
      </c>
      <c r="Q66" s="12" t="str">
        <f t="shared" si="16"/>
        <v>Low</v>
      </c>
      <c r="R66" s="13"/>
      <c r="S66" s="13"/>
      <c r="T66" s="13"/>
      <c r="U66" s="13"/>
      <c r="V66" s="12" t="str">
        <f t="shared" si="17"/>
        <v/>
      </c>
    </row>
    <row r="67" spans="4:22" x14ac:dyDescent="0.35">
      <c r="D67" s="11"/>
      <c r="E67" s="11"/>
      <c r="F67" s="11"/>
      <c r="G67" s="11"/>
      <c r="H67" s="11"/>
      <c r="I67" s="11"/>
      <c r="J67" s="12" t="str">
        <f t="shared" si="9"/>
        <v/>
      </c>
      <c r="K67" s="12" t="str">
        <f t="shared" si="10"/>
        <v/>
      </c>
      <c r="L67" s="12" t="str">
        <f t="shared" si="11"/>
        <v/>
      </c>
      <c r="M67" s="12" t="str">
        <f t="shared" si="12"/>
        <v/>
      </c>
      <c r="N67" s="12" t="str">
        <f t="shared" si="13"/>
        <v/>
      </c>
      <c r="O67" s="12" t="str">
        <f t="shared" si="14"/>
        <v/>
      </c>
      <c r="P67" s="12">
        <f t="shared" si="15"/>
        <v>0</v>
      </c>
      <c r="Q67" s="12" t="str">
        <f t="shared" si="16"/>
        <v>Low</v>
      </c>
      <c r="R67" s="13"/>
      <c r="S67" s="13"/>
      <c r="T67" s="13"/>
      <c r="U67" s="13"/>
      <c r="V67" s="12" t="str">
        <f t="shared" si="17"/>
        <v/>
      </c>
    </row>
    <row r="68" spans="4:22" x14ac:dyDescent="0.35">
      <c r="D68" s="11"/>
      <c r="E68" s="11"/>
      <c r="F68" s="11"/>
      <c r="G68" s="11"/>
      <c r="H68" s="11"/>
      <c r="I68" s="11"/>
      <c r="J68" s="12" t="str">
        <f t="shared" si="9"/>
        <v/>
      </c>
      <c r="K68" s="12" t="str">
        <f t="shared" si="10"/>
        <v/>
      </c>
      <c r="L68" s="12" t="str">
        <f t="shared" si="11"/>
        <v/>
      </c>
      <c r="M68" s="12" t="str">
        <f t="shared" si="12"/>
        <v/>
      </c>
      <c r="N68" s="12" t="str">
        <f t="shared" si="13"/>
        <v/>
      </c>
      <c r="O68" s="12" t="str">
        <f t="shared" si="14"/>
        <v/>
      </c>
      <c r="P68" s="12">
        <f t="shared" si="15"/>
        <v>0</v>
      </c>
      <c r="Q68" s="12" t="str">
        <f t="shared" si="16"/>
        <v>Low</v>
      </c>
      <c r="R68" s="13"/>
      <c r="S68" s="13"/>
      <c r="T68" s="13"/>
      <c r="U68" s="13"/>
      <c r="V68" s="12" t="str">
        <f t="shared" si="17"/>
        <v/>
      </c>
    </row>
    <row r="69" spans="4:22" x14ac:dyDescent="0.35">
      <c r="D69" s="11"/>
      <c r="E69" s="11"/>
      <c r="F69" s="11"/>
      <c r="G69" s="11"/>
      <c r="H69" s="11"/>
      <c r="I69" s="11"/>
      <c r="J69" s="12" t="str">
        <f t="shared" si="9"/>
        <v/>
      </c>
      <c r="K69" s="12" t="str">
        <f t="shared" si="10"/>
        <v/>
      </c>
      <c r="L69" s="12" t="str">
        <f t="shared" si="11"/>
        <v/>
      </c>
      <c r="M69" s="12" t="str">
        <f t="shared" si="12"/>
        <v/>
      </c>
      <c r="N69" s="12" t="str">
        <f t="shared" si="13"/>
        <v/>
      </c>
      <c r="O69" s="12" t="str">
        <f t="shared" si="14"/>
        <v/>
      </c>
      <c r="P69" s="12">
        <f t="shared" si="15"/>
        <v>0</v>
      </c>
      <c r="Q69" s="12" t="str">
        <f t="shared" si="16"/>
        <v>Low</v>
      </c>
      <c r="R69" s="13"/>
      <c r="S69" s="13"/>
      <c r="T69" s="13"/>
      <c r="U69" s="13"/>
      <c r="V69" s="12" t="str">
        <f t="shared" si="17"/>
        <v/>
      </c>
    </row>
    <row r="70" spans="4:22" x14ac:dyDescent="0.35">
      <c r="D70" s="11"/>
      <c r="E70" s="11"/>
      <c r="F70" s="11"/>
      <c r="G70" s="11"/>
      <c r="H70" s="11"/>
      <c r="I70" s="11"/>
      <c r="J70" s="12" t="str">
        <f t="shared" ref="J70:J104" si="18">IF(D70="Yes",3,IF(D70="No",0,""))</f>
        <v/>
      </c>
      <c r="K70" s="12" t="str">
        <f t="shared" ref="K70:K104" si="19">IF(E70="50+",4,IF(E70="20-50",3,IF(E70="5-20",2,IF(E70="1-5",1,IF(E70="0 / Not sure",0,"")))))</f>
        <v/>
      </c>
      <c r="L70" s="12" t="str">
        <f t="shared" ref="L70:L104" si="20">IF(F70="Yes",2,IF(F70="No",0,""))</f>
        <v/>
      </c>
      <c r="M70" s="12" t="str">
        <f t="shared" ref="M70:M104" si="21">IF(OR(G70="Electronics",G70="Computers",G70="Phones"),4,IF(OR(G70="Home &amp; Kitchen",G70="Beauty",G70="Fashion"),3,IF(OR(G70="Health",G70="Sports",G70="Tools"),3,IF(OR(G70="Grocery",G70="Baby",G70="Toys"),2,IF(G70="Other",0,"")))))</f>
        <v/>
      </c>
      <c r="N70" s="12" t="str">
        <f t="shared" ref="N70:N104" si="22">IF(H70="&gt; 5M SAR",4,IF(H70="1M - 5M SAR",3,IF(H70="500K - 1M SAR",2,IF(H70="&lt; 500K SAR",0,""))))</f>
        <v/>
      </c>
      <c r="O70" s="12" t="str">
        <f t="shared" ref="O70:O104" si="23">IF(I70="Yes",3,IF(I70="No",0,""))</f>
        <v/>
      </c>
      <c r="P70" s="12">
        <f t="shared" ref="P70:P101" si="24">IF(COUNTA(J70:O70)=6,SUM(J70:O70),"")</f>
        <v>0</v>
      </c>
      <c r="Q70" s="12" t="str">
        <f t="shared" ref="Q70:Q101" si="25">IF(P70="","",IF(P70&gt;14,"High",IF(P70&gt;=8,"Medium","Low")))</f>
        <v>Low</v>
      </c>
      <c r="R70" s="13"/>
      <c r="S70" s="13"/>
      <c r="T70" s="13"/>
      <c r="U70" s="13"/>
      <c r="V70" s="12" t="str">
        <f t="shared" ref="V70:V101" si="26">IF(U70="Yes","Launched",IF(T70="Yes","SIV Pass",IF(S70="Yes","Reg Complete",IF(R70="Yes","Reg Start",""))))</f>
        <v/>
      </c>
    </row>
    <row r="71" spans="4:22" x14ac:dyDescent="0.35">
      <c r="D71" s="11"/>
      <c r="E71" s="11"/>
      <c r="F71" s="11"/>
      <c r="G71" s="11"/>
      <c r="H71" s="11"/>
      <c r="I71" s="11"/>
      <c r="J71" s="12" t="str">
        <f t="shared" si="18"/>
        <v/>
      </c>
      <c r="K71" s="12" t="str">
        <f t="shared" si="19"/>
        <v/>
      </c>
      <c r="L71" s="12" t="str">
        <f t="shared" si="20"/>
        <v/>
      </c>
      <c r="M71" s="12" t="str">
        <f t="shared" si="21"/>
        <v/>
      </c>
      <c r="N71" s="12" t="str">
        <f t="shared" si="22"/>
        <v/>
      </c>
      <c r="O71" s="12" t="str">
        <f t="shared" si="23"/>
        <v/>
      </c>
      <c r="P71" s="12">
        <f t="shared" si="24"/>
        <v>0</v>
      </c>
      <c r="Q71" s="12" t="str">
        <f t="shared" si="25"/>
        <v>Low</v>
      </c>
      <c r="R71" s="13"/>
      <c r="S71" s="13"/>
      <c r="T71" s="13"/>
      <c r="U71" s="13"/>
      <c r="V71" s="12" t="str">
        <f t="shared" si="26"/>
        <v/>
      </c>
    </row>
    <row r="72" spans="4:22" x14ac:dyDescent="0.35">
      <c r="D72" s="11"/>
      <c r="E72" s="11"/>
      <c r="F72" s="11"/>
      <c r="G72" s="11"/>
      <c r="H72" s="11"/>
      <c r="I72" s="11"/>
      <c r="J72" s="12" t="str">
        <f t="shared" si="18"/>
        <v/>
      </c>
      <c r="K72" s="12" t="str">
        <f t="shared" si="19"/>
        <v/>
      </c>
      <c r="L72" s="12" t="str">
        <f t="shared" si="20"/>
        <v/>
      </c>
      <c r="M72" s="12" t="str">
        <f t="shared" si="21"/>
        <v/>
      </c>
      <c r="N72" s="12" t="str">
        <f t="shared" si="22"/>
        <v/>
      </c>
      <c r="O72" s="12" t="str">
        <f t="shared" si="23"/>
        <v/>
      </c>
      <c r="P72" s="12">
        <f t="shared" si="24"/>
        <v>0</v>
      </c>
      <c r="Q72" s="12" t="str">
        <f t="shared" si="25"/>
        <v>Low</v>
      </c>
      <c r="R72" s="13"/>
      <c r="S72" s="13"/>
      <c r="T72" s="13"/>
      <c r="U72" s="13"/>
      <c r="V72" s="12" t="str">
        <f t="shared" si="26"/>
        <v/>
      </c>
    </row>
    <row r="73" spans="4:22" x14ac:dyDescent="0.35">
      <c r="D73" s="11"/>
      <c r="E73" s="11"/>
      <c r="F73" s="11"/>
      <c r="G73" s="11"/>
      <c r="H73" s="11"/>
      <c r="I73" s="11"/>
      <c r="J73" s="12" t="str">
        <f t="shared" si="18"/>
        <v/>
      </c>
      <c r="K73" s="12" t="str">
        <f t="shared" si="19"/>
        <v/>
      </c>
      <c r="L73" s="12" t="str">
        <f t="shared" si="20"/>
        <v/>
      </c>
      <c r="M73" s="12" t="str">
        <f t="shared" si="21"/>
        <v/>
      </c>
      <c r="N73" s="12" t="str">
        <f t="shared" si="22"/>
        <v/>
      </c>
      <c r="O73" s="12" t="str">
        <f t="shared" si="23"/>
        <v/>
      </c>
      <c r="P73" s="12">
        <f t="shared" si="24"/>
        <v>0</v>
      </c>
      <c r="Q73" s="12" t="str">
        <f t="shared" si="25"/>
        <v>Low</v>
      </c>
      <c r="R73" s="13"/>
      <c r="S73" s="13"/>
      <c r="T73" s="13"/>
      <c r="U73" s="13"/>
      <c r="V73" s="12" t="str">
        <f t="shared" si="26"/>
        <v/>
      </c>
    </row>
    <row r="74" spans="4:22" x14ac:dyDescent="0.35">
      <c r="D74" s="11"/>
      <c r="E74" s="11"/>
      <c r="F74" s="11"/>
      <c r="G74" s="11"/>
      <c r="H74" s="11"/>
      <c r="I74" s="11"/>
      <c r="J74" s="12" t="str">
        <f t="shared" si="18"/>
        <v/>
      </c>
      <c r="K74" s="12" t="str">
        <f t="shared" si="19"/>
        <v/>
      </c>
      <c r="L74" s="12" t="str">
        <f t="shared" si="20"/>
        <v/>
      </c>
      <c r="M74" s="12" t="str">
        <f t="shared" si="21"/>
        <v/>
      </c>
      <c r="N74" s="12" t="str">
        <f t="shared" si="22"/>
        <v/>
      </c>
      <c r="O74" s="12" t="str">
        <f t="shared" si="23"/>
        <v/>
      </c>
      <c r="P74" s="12">
        <f t="shared" si="24"/>
        <v>0</v>
      </c>
      <c r="Q74" s="12" t="str">
        <f t="shared" si="25"/>
        <v>Low</v>
      </c>
      <c r="R74" s="13"/>
      <c r="S74" s="13"/>
      <c r="T74" s="13"/>
      <c r="U74" s="13"/>
      <c r="V74" s="12" t="str">
        <f t="shared" si="26"/>
        <v/>
      </c>
    </row>
    <row r="75" spans="4:22" x14ac:dyDescent="0.35">
      <c r="D75" s="11"/>
      <c r="E75" s="11"/>
      <c r="F75" s="11"/>
      <c r="G75" s="11"/>
      <c r="H75" s="11"/>
      <c r="I75" s="11"/>
      <c r="J75" s="12" t="str">
        <f t="shared" si="18"/>
        <v/>
      </c>
      <c r="K75" s="12" t="str">
        <f t="shared" si="19"/>
        <v/>
      </c>
      <c r="L75" s="12" t="str">
        <f t="shared" si="20"/>
        <v/>
      </c>
      <c r="M75" s="12" t="str">
        <f t="shared" si="21"/>
        <v/>
      </c>
      <c r="N75" s="12" t="str">
        <f t="shared" si="22"/>
        <v/>
      </c>
      <c r="O75" s="12" t="str">
        <f t="shared" si="23"/>
        <v/>
      </c>
      <c r="P75" s="12">
        <f t="shared" si="24"/>
        <v>0</v>
      </c>
      <c r="Q75" s="12" t="str">
        <f t="shared" si="25"/>
        <v>Low</v>
      </c>
      <c r="R75" s="13"/>
      <c r="S75" s="13"/>
      <c r="T75" s="13"/>
      <c r="U75" s="13"/>
      <c r="V75" s="12" t="str">
        <f t="shared" si="26"/>
        <v/>
      </c>
    </row>
    <row r="76" spans="4:22" x14ac:dyDescent="0.35">
      <c r="D76" s="11"/>
      <c r="E76" s="11"/>
      <c r="F76" s="11"/>
      <c r="G76" s="11"/>
      <c r="H76" s="11"/>
      <c r="I76" s="11"/>
      <c r="J76" s="12" t="str">
        <f t="shared" si="18"/>
        <v/>
      </c>
      <c r="K76" s="12" t="str">
        <f t="shared" si="19"/>
        <v/>
      </c>
      <c r="L76" s="12" t="str">
        <f t="shared" si="20"/>
        <v/>
      </c>
      <c r="M76" s="12" t="str">
        <f t="shared" si="21"/>
        <v/>
      </c>
      <c r="N76" s="12" t="str">
        <f t="shared" si="22"/>
        <v/>
      </c>
      <c r="O76" s="12" t="str">
        <f t="shared" si="23"/>
        <v/>
      </c>
      <c r="P76" s="12">
        <f t="shared" si="24"/>
        <v>0</v>
      </c>
      <c r="Q76" s="12" t="str">
        <f t="shared" si="25"/>
        <v>Low</v>
      </c>
      <c r="R76" s="13"/>
      <c r="S76" s="13"/>
      <c r="T76" s="13"/>
      <c r="U76" s="13"/>
      <c r="V76" s="12" t="str">
        <f t="shared" si="26"/>
        <v/>
      </c>
    </row>
    <row r="77" spans="4:22" x14ac:dyDescent="0.35">
      <c r="D77" s="11"/>
      <c r="E77" s="11"/>
      <c r="F77" s="11"/>
      <c r="G77" s="11"/>
      <c r="H77" s="11"/>
      <c r="I77" s="11"/>
      <c r="J77" s="12" t="str">
        <f t="shared" si="18"/>
        <v/>
      </c>
      <c r="K77" s="12" t="str">
        <f t="shared" si="19"/>
        <v/>
      </c>
      <c r="L77" s="12" t="str">
        <f t="shared" si="20"/>
        <v/>
      </c>
      <c r="M77" s="12" t="str">
        <f t="shared" si="21"/>
        <v/>
      </c>
      <c r="N77" s="12" t="str">
        <f t="shared" si="22"/>
        <v/>
      </c>
      <c r="O77" s="12" t="str">
        <f t="shared" si="23"/>
        <v/>
      </c>
      <c r="P77" s="12">
        <f t="shared" si="24"/>
        <v>0</v>
      </c>
      <c r="Q77" s="12" t="str">
        <f t="shared" si="25"/>
        <v>Low</v>
      </c>
      <c r="R77" s="13"/>
      <c r="S77" s="13"/>
      <c r="T77" s="13"/>
      <c r="U77" s="13"/>
      <c r="V77" s="12" t="str">
        <f t="shared" si="26"/>
        <v/>
      </c>
    </row>
    <row r="78" spans="4:22" x14ac:dyDescent="0.35">
      <c r="D78" s="11"/>
      <c r="E78" s="11"/>
      <c r="F78" s="11"/>
      <c r="G78" s="11"/>
      <c r="H78" s="11"/>
      <c r="I78" s="11"/>
      <c r="J78" s="12" t="str">
        <f t="shared" si="18"/>
        <v/>
      </c>
      <c r="K78" s="12" t="str">
        <f t="shared" si="19"/>
        <v/>
      </c>
      <c r="L78" s="12" t="str">
        <f t="shared" si="20"/>
        <v/>
      </c>
      <c r="M78" s="12" t="str">
        <f t="shared" si="21"/>
        <v/>
      </c>
      <c r="N78" s="12" t="str">
        <f t="shared" si="22"/>
        <v/>
      </c>
      <c r="O78" s="12" t="str">
        <f t="shared" si="23"/>
        <v/>
      </c>
      <c r="P78" s="12">
        <f t="shared" si="24"/>
        <v>0</v>
      </c>
      <c r="Q78" s="12" t="str">
        <f t="shared" si="25"/>
        <v>Low</v>
      </c>
      <c r="R78" s="13"/>
      <c r="S78" s="13"/>
      <c r="T78" s="13"/>
      <c r="U78" s="13"/>
      <c r="V78" s="12" t="str">
        <f t="shared" si="26"/>
        <v/>
      </c>
    </row>
    <row r="79" spans="4:22" x14ac:dyDescent="0.35">
      <c r="D79" s="11"/>
      <c r="E79" s="11"/>
      <c r="F79" s="11"/>
      <c r="G79" s="11"/>
      <c r="H79" s="11"/>
      <c r="I79" s="11"/>
      <c r="J79" s="12" t="str">
        <f t="shared" si="18"/>
        <v/>
      </c>
      <c r="K79" s="12" t="str">
        <f t="shared" si="19"/>
        <v/>
      </c>
      <c r="L79" s="12" t="str">
        <f t="shared" si="20"/>
        <v/>
      </c>
      <c r="M79" s="12" t="str">
        <f t="shared" si="21"/>
        <v/>
      </c>
      <c r="N79" s="12" t="str">
        <f t="shared" si="22"/>
        <v/>
      </c>
      <c r="O79" s="12" t="str">
        <f t="shared" si="23"/>
        <v/>
      </c>
      <c r="P79" s="12">
        <f t="shared" si="24"/>
        <v>0</v>
      </c>
      <c r="Q79" s="12" t="str">
        <f t="shared" si="25"/>
        <v>Low</v>
      </c>
      <c r="R79" s="13"/>
      <c r="S79" s="13"/>
      <c r="T79" s="13"/>
      <c r="U79" s="13"/>
      <c r="V79" s="12" t="str">
        <f t="shared" si="26"/>
        <v/>
      </c>
    </row>
    <row r="80" spans="4:22" x14ac:dyDescent="0.35">
      <c r="D80" s="11"/>
      <c r="E80" s="11"/>
      <c r="F80" s="11"/>
      <c r="G80" s="11"/>
      <c r="H80" s="11"/>
      <c r="I80" s="11"/>
      <c r="J80" s="12" t="str">
        <f t="shared" si="18"/>
        <v/>
      </c>
      <c r="K80" s="12" t="str">
        <f t="shared" si="19"/>
        <v/>
      </c>
      <c r="L80" s="12" t="str">
        <f t="shared" si="20"/>
        <v/>
      </c>
      <c r="M80" s="12" t="str">
        <f t="shared" si="21"/>
        <v/>
      </c>
      <c r="N80" s="12" t="str">
        <f t="shared" si="22"/>
        <v/>
      </c>
      <c r="O80" s="12" t="str">
        <f t="shared" si="23"/>
        <v/>
      </c>
      <c r="P80" s="12">
        <f t="shared" si="24"/>
        <v>0</v>
      </c>
      <c r="Q80" s="12" t="str">
        <f t="shared" si="25"/>
        <v>Low</v>
      </c>
      <c r="R80" s="13"/>
      <c r="S80" s="13"/>
      <c r="T80" s="13"/>
      <c r="U80" s="13"/>
      <c r="V80" s="12" t="str">
        <f t="shared" si="26"/>
        <v/>
      </c>
    </row>
    <row r="81" spans="4:22" x14ac:dyDescent="0.35">
      <c r="D81" s="11"/>
      <c r="E81" s="11"/>
      <c r="F81" s="11"/>
      <c r="G81" s="11"/>
      <c r="H81" s="11"/>
      <c r="I81" s="11"/>
      <c r="J81" s="12" t="str">
        <f t="shared" si="18"/>
        <v/>
      </c>
      <c r="K81" s="12" t="str">
        <f t="shared" si="19"/>
        <v/>
      </c>
      <c r="L81" s="12" t="str">
        <f t="shared" si="20"/>
        <v/>
      </c>
      <c r="M81" s="12" t="str">
        <f t="shared" si="21"/>
        <v/>
      </c>
      <c r="N81" s="12" t="str">
        <f t="shared" si="22"/>
        <v/>
      </c>
      <c r="O81" s="12" t="str">
        <f t="shared" si="23"/>
        <v/>
      </c>
      <c r="P81" s="12">
        <f t="shared" si="24"/>
        <v>0</v>
      </c>
      <c r="Q81" s="12" t="str">
        <f t="shared" si="25"/>
        <v>Low</v>
      </c>
      <c r="R81" s="13"/>
      <c r="S81" s="13"/>
      <c r="T81" s="13"/>
      <c r="U81" s="13"/>
      <c r="V81" s="12" t="str">
        <f t="shared" si="26"/>
        <v/>
      </c>
    </row>
    <row r="82" spans="4:22" x14ac:dyDescent="0.35">
      <c r="D82" s="11"/>
      <c r="E82" s="11"/>
      <c r="F82" s="11"/>
      <c r="G82" s="11"/>
      <c r="H82" s="11"/>
      <c r="I82" s="11"/>
      <c r="J82" s="12" t="str">
        <f t="shared" si="18"/>
        <v/>
      </c>
      <c r="K82" s="12" t="str">
        <f t="shared" si="19"/>
        <v/>
      </c>
      <c r="L82" s="12" t="str">
        <f t="shared" si="20"/>
        <v/>
      </c>
      <c r="M82" s="12" t="str">
        <f t="shared" si="21"/>
        <v/>
      </c>
      <c r="N82" s="12" t="str">
        <f t="shared" si="22"/>
        <v/>
      </c>
      <c r="O82" s="12" t="str">
        <f t="shared" si="23"/>
        <v/>
      </c>
      <c r="P82" s="12">
        <f t="shared" si="24"/>
        <v>0</v>
      </c>
      <c r="Q82" s="12" t="str">
        <f t="shared" si="25"/>
        <v>Low</v>
      </c>
      <c r="R82" s="13"/>
      <c r="S82" s="13"/>
      <c r="T82" s="13"/>
      <c r="U82" s="13"/>
      <c r="V82" s="12" t="str">
        <f t="shared" si="26"/>
        <v/>
      </c>
    </row>
    <row r="83" spans="4:22" x14ac:dyDescent="0.35">
      <c r="D83" s="11"/>
      <c r="E83" s="11"/>
      <c r="F83" s="11"/>
      <c r="G83" s="11"/>
      <c r="H83" s="11"/>
      <c r="I83" s="11"/>
      <c r="J83" s="12" t="str">
        <f t="shared" si="18"/>
        <v/>
      </c>
      <c r="K83" s="12" t="str">
        <f t="shared" si="19"/>
        <v/>
      </c>
      <c r="L83" s="12" t="str">
        <f t="shared" si="20"/>
        <v/>
      </c>
      <c r="M83" s="12" t="str">
        <f t="shared" si="21"/>
        <v/>
      </c>
      <c r="N83" s="12" t="str">
        <f t="shared" si="22"/>
        <v/>
      </c>
      <c r="O83" s="12" t="str">
        <f t="shared" si="23"/>
        <v/>
      </c>
      <c r="P83" s="12">
        <f t="shared" si="24"/>
        <v>0</v>
      </c>
      <c r="Q83" s="12" t="str">
        <f t="shared" si="25"/>
        <v>Low</v>
      </c>
      <c r="R83" s="13"/>
      <c r="S83" s="13"/>
      <c r="T83" s="13"/>
      <c r="U83" s="13"/>
      <c r="V83" s="12" t="str">
        <f t="shared" si="26"/>
        <v/>
      </c>
    </row>
    <row r="84" spans="4:22" x14ac:dyDescent="0.35">
      <c r="D84" s="11"/>
      <c r="E84" s="11"/>
      <c r="F84" s="11"/>
      <c r="G84" s="11"/>
      <c r="H84" s="11"/>
      <c r="I84" s="11"/>
      <c r="J84" s="12" t="str">
        <f t="shared" si="18"/>
        <v/>
      </c>
      <c r="K84" s="12" t="str">
        <f t="shared" si="19"/>
        <v/>
      </c>
      <c r="L84" s="12" t="str">
        <f t="shared" si="20"/>
        <v/>
      </c>
      <c r="M84" s="12" t="str">
        <f t="shared" si="21"/>
        <v/>
      </c>
      <c r="N84" s="12" t="str">
        <f t="shared" si="22"/>
        <v/>
      </c>
      <c r="O84" s="12" t="str">
        <f t="shared" si="23"/>
        <v/>
      </c>
      <c r="P84" s="12">
        <f t="shared" si="24"/>
        <v>0</v>
      </c>
      <c r="Q84" s="12" t="str">
        <f t="shared" si="25"/>
        <v>Low</v>
      </c>
      <c r="R84" s="13"/>
      <c r="S84" s="13"/>
      <c r="T84" s="13"/>
      <c r="U84" s="13"/>
      <c r="V84" s="12" t="str">
        <f t="shared" si="26"/>
        <v/>
      </c>
    </row>
    <row r="85" spans="4:22" x14ac:dyDescent="0.35">
      <c r="D85" s="11"/>
      <c r="E85" s="11"/>
      <c r="F85" s="11"/>
      <c r="G85" s="11"/>
      <c r="H85" s="11"/>
      <c r="I85" s="11"/>
      <c r="J85" s="12" t="str">
        <f t="shared" si="18"/>
        <v/>
      </c>
      <c r="K85" s="12" t="str">
        <f t="shared" si="19"/>
        <v/>
      </c>
      <c r="L85" s="12" t="str">
        <f t="shared" si="20"/>
        <v/>
      </c>
      <c r="M85" s="12" t="str">
        <f t="shared" si="21"/>
        <v/>
      </c>
      <c r="N85" s="12" t="str">
        <f t="shared" si="22"/>
        <v/>
      </c>
      <c r="O85" s="12" t="str">
        <f t="shared" si="23"/>
        <v/>
      </c>
      <c r="P85" s="12">
        <f t="shared" si="24"/>
        <v>0</v>
      </c>
      <c r="Q85" s="12" t="str">
        <f t="shared" si="25"/>
        <v>Low</v>
      </c>
      <c r="R85" s="13"/>
      <c r="S85" s="13"/>
      <c r="T85" s="13"/>
      <c r="U85" s="13"/>
      <c r="V85" s="12" t="str">
        <f t="shared" si="26"/>
        <v/>
      </c>
    </row>
    <row r="86" spans="4:22" x14ac:dyDescent="0.35">
      <c r="D86" s="11"/>
      <c r="E86" s="11"/>
      <c r="F86" s="11"/>
      <c r="G86" s="11"/>
      <c r="H86" s="11"/>
      <c r="I86" s="11"/>
      <c r="J86" s="12" t="str">
        <f t="shared" si="18"/>
        <v/>
      </c>
      <c r="K86" s="12" t="str">
        <f t="shared" si="19"/>
        <v/>
      </c>
      <c r="L86" s="12" t="str">
        <f t="shared" si="20"/>
        <v/>
      </c>
      <c r="M86" s="12" t="str">
        <f t="shared" si="21"/>
        <v/>
      </c>
      <c r="N86" s="12" t="str">
        <f t="shared" si="22"/>
        <v/>
      </c>
      <c r="O86" s="12" t="str">
        <f t="shared" si="23"/>
        <v/>
      </c>
      <c r="P86" s="12">
        <f t="shared" si="24"/>
        <v>0</v>
      </c>
      <c r="Q86" s="12" t="str">
        <f t="shared" si="25"/>
        <v>Low</v>
      </c>
      <c r="R86" s="13"/>
      <c r="S86" s="13"/>
      <c r="T86" s="13"/>
      <c r="U86" s="13"/>
      <c r="V86" s="12" t="str">
        <f t="shared" si="26"/>
        <v/>
      </c>
    </row>
    <row r="87" spans="4:22" x14ac:dyDescent="0.35">
      <c r="D87" s="11"/>
      <c r="E87" s="11"/>
      <c r="F87" s="11"/>
      <c r="G87" s="11"/>
      <c r="H87" s="11"/>
      <c r="I87" s="11"/>
      <c r="J87" s="12" t="str">
        <f t="shared" si="18"/>
        <v/>
      </c>
      <c r="K87" s="12" t="str">
        <f t="shared" si="19"/>
        <v/>
      </c>
      <c r="L87" s="12" t="str">
        <f t="shared" si="20"/>
        <v/>
      </c>
      <c r="M87" s="12" t="str">
        <f t="shared" si="21"/>
        <v/>
      </c>
      <c r="N87" s="12" t="str">
        <f t="shared" si="22"/>
        <v/>
      </c>
      <c r="O87" s="12" t="str">
        <f t="shared" si="23"/>
        <v/>
      </c>
      <c r="P87" s="12">
        <f t="shared" si="24"/>
        <v>0</v>
      </c>
      <c r="Q87" s="12" t="str">
        <f t="shared" si="25"/>
        <v>Low</v>
      </c>
      <c r="R87" s="13"/>
      <c r="S87" s="13"/>
      <c r="T87" s="13"/>
      <c r="U87" s="13"/>
      <c r="V87" s="12" t="str">
        <f t="shared" si="26"/>
        <v/>
      </c>
    </row>
    <row r="88" spans="4:22" x14ac:dyDescent="0.35">
      <c r="D88" s="11"/>
      <c r="E88" s="11"/>
      <c r="F88" s="11"/>
      <c r="G88" s="11"/>
      <c r="H88" s="11"/>
      <c r="I88" s="11"/>
      <c r="J88" s="12" t="str">
        <f t="shared" si="18"/>
        <v/>
      </c>
      <c r="K88" s="12" t="str">
        <f t="shared" si="19"/>
        <v/>
      </c>
      <c r="L88" s="12" t="str">
        <f t="shared" si="20"/>
        <v/>
      </c>
      <c r="M88" s="12" t="str">
        <f t="shared" si="21"/>
        <v/>
      </c>
      <c r="N88" s="12" t="str">
        <f t="shared" si="22"/>
        <v/>
      </c>
      <c r="O88" s="12" t="str">
        <f t="shared" si="23"/>
        <v/>
      </c>
      <c r="P88" s="12">
        <f t="shared" si="24"/>
        <v>0</v>
      </c>
      <c r="Q88" s="12" t="str">
        <f t="shared" si="25"/>
        <v>Low</v>
      </c>
      <c r="R88" s="13"/>
      <c r="S88" s="13"/>
      <c r="T88" s="13"/>
      <c r="U88" s="13"/>
      <c r="V88" s="12" t="str">
        <f t="shared" si="26"/>
        <v/>
      </c>
    </row>
    <row r="89" spans="4:22" x14ac:dyDescent="0.35">
      <c r="D89" s="11"/>
      <c r="E89" s="11"/>
      <c r="F89" s="11"/>
      <c r="G89" s="11"/>
      <c r="H89" s="11"/>
      <c r="I89" s="11"/>
      <c r="J89" s="12" t="str">
        <f t="shared" si="18"/>
        <v/>
      </c>
      <c r="K89" s="12" t="str">
        <f t="shared" si="19"/>
        <v/>
      </c>
      <c r="L89" s="12" t="str">
        <f t="shared" si="20"/>
        <v/>
      </c>
      <c r="M89" s="12" t="str">
        <f t="shared" si="21"/>
        <v/>
      </c>
      <c r="N89" s="12" t="str">
        <f t="shared" si="22"/>
        <v/>
      </c>
      <c r="O89" s="12" t="str">
        <f t="shared" si="23"/>
        <v/>
      </c>
      <c r="P89" s="12">
        <f t="shared" si="24"/>
        <v>0</v>
      </c>
      <c r="Q89" s="12" t="str">
        <f t="shared" si="25"/>
        <v>Low</v>
      </c>
      <c r="R89" s="13"/>
      <c r="S89" s="13"/>
      <c r="T89" s="13"/>
      <c r="U89" s="13"/>
      <c r="V89" s="12" t="str">
        <f t="shared" si="26"/>
        <v/>
      </c>
    </row>
    <row r="90" spans="4:22" x14ac:dyDescent="0.35">
      <c r="D90" s="11"/>
      <c r="E90" s="11"/>
      <c r="F90" s="11"/>
      <c r="G90" s="11"/>
      <c r="H90" s="11"/>
      <c r="I90" s="11"/>
      <c r="J90" s="12" t="str">
        <f t="shared" si="18"/>
        <v/>
      </c>
      <c r="K90" s="12" t="str">
        <f t="shared" si="19"/>
        <v/>
      </c>
      <c r="L90" s="12" t="str">
        <f t="shared" si="20"/>
        <v/>
      </c>
      <c r="M90" s="12" t="str">
        <f t="shared" si="21"/>
        <v/>
      </c>
      <c r="N90" s="12" t="str">
        <f t="shared" si="22"/>
        <v/>
      </c>
      <c r="O90" s="12" t="str">
        <f t="shared" si="23"/>
        <v/>
      </c>
      <c r="P90" s="12">
        <f t="shared" si="24"/>
        <v>0</v>
      </c>
      <c r="Q90" s="12" t="str">
        <f t="shared" si="25"/>
        <v>Low</v>
      </c>
      <c r="R90" s="13"/>
      <c r="S90" s="13"/>
      <c r="T90" s="13"/>
      <c r="U90" s="13"/>
      <c r="V90" s="12" t="str">
        <f t="shared" si="26"/>
        <v/>
      </c>
    </row>
    <row r="91" spans="4:22" x14ac:dyDescent="0.35">
      <c r="D91" s="11"/>
      <c r="E91" s="11"/>
      <c r="F91" s="11"/>
      <c r="G91" s="11"/>
      <c r="H91" s="11"/>
      <c r="I91" s="11"/>
      <c r="J91" s="12" t="str">
        <f t="shared" si="18"/>
        <v/>
      </c>
      <c r="K91" s="12" t="str">
        <f t="shared" si="19"/>
        <v/>
      </c>
      <c r="L91" s="12" t="str">
        <f t="shared" si="20"/>
        <v/>
      </c>
      <c r="M91" s="12" t="str">
        <f t="shared" si="21"/>
        <v/>
      </c>
      <c r="N91" s="12" t="str">
        <f t="shared" si="22"/>
        <v/>
      </c>
      <c r="O91" s="12" t="str">
        <f t="shared" si="23"/>
        <v/>
      </c>
      <c r="P91" s="12">
        <f t="shared" si="24"/>
        <v>0</v>
      </c>
      <c r="Q91" s="12" t="str">
        <f t="shared" si="25"/>
        <v>Low</v>
      </c>
      <c r="R91" s="13"/>
      <c r="S91" s="13"/>
      <c r="T91" s="13"/>
      <c r="U91" s="13"/>
      <c r="V91" s="12" t="str">
        <f t="shared" si="26"/>
        <v/>
      </c>
    </row>
    <row r="92" spans="4:22" x14ac:dyDescent="0.35">
      <c r="D92" s="11"/>
      <c r="E92" s="11"/>
      <c r="F92" s="11"/>
      <c r="G92" s="11"/>
      <c r="H92" s="11"/>
      <c r="I92" s="11"/>
      <c r="J92" s="12" t="str">
        <f t="shared" si="18"/>
        <v/>
      </c>
      <c r="K92" s="12" t="str">
        <f t="shared" si="19"/>
        <v/>
      </c>
      <c r="L92" s="12" t="str">
        <f t="shared" si="20"/>
        <v/>
      </c>
      <c r="M92" s="12" t="str">
        <f t="shared" si="21"/>
        <v/>
      </c>
      <c r="N92" s="12" t="str">
        <f t="shared" si="22"/>
        <v/>
      </c>
      <c r="O92" s="12" t="str">
        <f t="shared" si="23"/>
        <v/>
      </c>
      <c r="P92" s="12">
        <f t="shared" si="24"/>
        <v>0</v>
      </c>
      <c r="Q92" s="12" t="str">
        <f t="shared" si="25"/>
        <v>Low</v>
      </c>
      <c r="R92" s="13"/>
      <c r="S92" s="13"/>
      <c r="T92" s="13"/>
      <c r="U92" s="13"/>
      <c r="V92" s="12" t="str">
        <f t="shared" si="26"/>
        <v/>
      </c>
    </row>
    <row r="93" spans="4:22" x14ac:dyDescent="0.35">
      <c r="D93" s="11"/>
      <c r="E93" s="11"/>
      <c r="F93" s="11"/>
      <c r="G93" s="11"/>
      <c r="H93" s="11"/>
      <c r="I93" s="11"/>
      <c r="J93" s="12" t="str">
        <f t="shared" si="18"/>
        <v/>
      </c>
      <c r="K93" s="12" t="str">
        <f t="shared" si="19"/>
        <v/>
      </c>
      <c r="L93" s="12" t="str">
        <f t="shared" si="20"/>
        <v/>
      </c>
      <c r="M93" s="12" t="str">
        <f t="shared" si="21"/>
        <v/>
      </c>
      <c r="N93" s="12" t="str">
        <f t="shared" si="22"/>
        <v/>
      </c>
      <c r="O93" s="12" t="str">
        <f t="shared" si="23"/>
        <v/>
      </c>
      <c r="P93" s="12">
        <f t="shared" si="24"/>
        <v>0</v>
      </c>
      <c r="Q93" s="12" t="str">
        <f t="shared" si="25"/>
        <v>Low</v>
      </c>
      <c r="R93" s="13"/>
      <c r="S93" s="13"/>
      <c r="T93" s="13"/>
      <c r="U93" s="13"/>
      <c r="V93" s="12" t="str">
        <f t="shared" si="26"/>
        <v/>
      </c>
    </row>
    <row r="94" spans="4:22" x14ac:dyDescent="0.35">
      <c r="D94" s="11"/>
      <c r="E94" s="11"/>
      <c r="F94" s="11"/>
      <c r="G94" s="11"/>
      <c r="H94" s="11"/>
      <c r="I94" s="11"/>
      <c r="J94" s="12" t="str">
        <f t="shared" si="18"/>
        <v/>
      </c>
      <c r="K94" s="12" t="str">
        <f t="shared" si="19"/>
        <v/>
      </c>
      <c r="L94" s="12" t="str">
        <f t="shared" si="20"/>
        <v/>
      </c>
      <c r="M94" s="12" t="str">
        <f t="shared" si="21"/>
        <v/>
      </c>
      <c r="N94" s="12" t="str">
        <f t="shared" si="22"/>
        <v/>
      </c>
      <c r="O94" s="12" t="str">
        <f t="shared" si="23"/>
        <v/>
      </c>
      <c r="P94" s="12">
        <f t="shared" si="24"/>
        <v>0</v>
      </c>
      <c r="Q94" s="12" t="str">
        <f t="shared" si="25"/>
        <v>Low</v>
      </c>
      <c r="R94" s="13"/>
      <c r="S94" s="13"/>
      <c r="T94" s="13"/>
      <c r="U94" s="13"/>
      <c r="V94" s="12" t="str">
        <f t="shared" si="26"/>
        <v/>
      </c>
    </row>
    <row r="95" spans="4:22" x14ac:dyDescent="0.35">
      <c r="D95" s="11"/>
      <c r="E95" s="11"/>
      <c r="F95" s="11"/>
      <c r="G95" s="11"/>
      <c r="H95" s="11"/>
      <c r="I95" s="11"/>
      <c r="J95" s="12" t="str">
        <f t="shared" si="18"/>
        <v/>
      </c>
      <c r="K95" s="12" t="str">
        <f t="shared" si="19"/>
        <v/>
      </c>
      <c r="L95" s="12" t="str">
        <f t="shared" si="20"/>
        <v/>
      </c>
      <c r="M95" s="12" t="str">
        <f t="shared" si="21"/>
        <v/>
      </c>
      <c r="N95" s="12" t="str">
        <f t="shared" si="22"/>
        <v/>
      </c>
      <c r="O95" s="12" t="str">
        <f t="shared" si="23"/>
        <v/>
      </c>
      <c r="P95" s="12">
        <f t="shared" si="24"/>
        <v>0</v>
      </c>
      <c r="Q95" s="12" t="str">
        <f t="shared" si="25"/>
        <v>Low</v>
      </c>
      <c r="R95" s="13"/>
      <c r="S95" s="13"/>
      <c r="T95" s="13"/>
      <c r="U95" s="13"/>
      <c r="V95" s="12" t="str">
        <f t="shared" si="26"/>
        <v/>
      </c>
    </row>
    <row r="96" spans="4:22" x14ac:dyDescent="0.35">
      <c r="D96" s="11"/>
      <c r="E96" s="11"/>
      <c r="F96" s="11"/>
      <c r="G96" s="11"/>
      <c r="H96" s="11"/>
      <c r="I96" s="11"/>
      <c r="J96" s="12" t="str">
        <f t="shared" si="18"/>
        <v/>
      </c>
      <c r="K96" s="12" t="str">
        <f t="shared" si="19"/>
        <v/>
      </c>
      <c r="L96" s="12" t="str">
        <f t="shared" si="20"/>
        <v/>
      </c>
      <c r="M96" s="12" t="str">
        <f t="shared" si="21"/>
        <v/>
      </c>
      <c r="N96" s="12" t="str">
        <f t="shared" si="22"/>
        <v/>
      </c>
      <c r="O96" s="12" t="str">
        <f t="shared" si="23"/>
        <v/>
      </c>
      <c r="P96" s="12">
        <f t="shared" si="24"/>
        <v>0</v>
      </c>
      <c r="Q96" s="12" t="str">
        <f t="shared" si="25"/>
        <v>Low</v>
      </c>
      <c r="R96" s="13"/>
      <c r="S96" s="13"/>
      <c r="T96" s="13"/>
      <c r="U96" s="13"/>
      <c r="V96" s="12" t="str">
        <f t="shared" si="26"/>
        <v/>
      </c>
    </row>
    <row r="97" spans="4:22" x14ac:dyDescent="0.35">
      <c r="D97" s="11"/>
      <c r="E97" s="11"/>
      <c r="F97" s="11"/>
      <c r="G97" s="11"/>
      <c r="H97" s="11"/>
      <c r="I97" s="11"/>
      <c r="J97" s="12" t="str">
        <f t="shared" si="18"/>
        <v/>
      </c>
      <c r="K97" s="12" t="str">
        <f t="shared" si="19"/>
        <v/>
      </c>
      <c r="L97" s="12" t="str">
        <f t="shared" si="20"/>
        <v/>
      </c>
      <c r="M97" s="12" t="str">
        <f t="shared" si="21"/>
        <v/>
      </c>
      <c r="N97" s="12" t="str">
        <f t="shared" si="22"/>
        <v/>
      </c>
      <c r="O97" s="12" t="str">
        <f t="shared" si="23"/>
        <v/>
      </c>
      <c r="P97" s="12">
        <f t="shared" si="24"/>
        <v>0</v>
      </c>
      <c r="Q97" s="12" t="str">
        <f t="shared" si="25"/>
        <v>Low</v>
      </c>
      <c r="R97" s="13"/>
      <c r="S97" s="13"/>
      <c r="T97" s="13"/>
      <c r="U97" s="13"/>
      <c r="V97" s="12" t="str">
        <f t="shared" si="26"/>
        <v/>
      </c>
    </row>
    <row r="98" spans="4:22" x14ac:dyDescent="0.35">
      <c r="D98" s="11"/>
      <c r="E98" s="11"/>
      <c r="F98" s="11"/>
      <c r="G98" s="11"/>
      <c r="H98" s="11"/>
      <c r="I98" s="11"/>
      <c r="J98" s="12" t="str">
        <f t="shared" si="18"/>
        <v/>
      </c>
      <c r="K98" s="12" t="str">
        <f t="shared" si="19"/>
        <v/>
      </c>
      <c r="L98" s="12" t="str">
        <f t="shared" si="20"/>
        <v/>
      </c>
      <c r="M98" s="12" t="str">
        <f t="shared" si="21"/>
        <v/>
      </c>
      <c r="N98" s="12" t="str">
        <f t="shared" si="22"/>
        <v/>
      </c>
      <c r="O98" s="12" t="str">
        <f t="shared" si="23"/>
        <v/>
      </c>
      <c r="P98" s="12">
        <f t="shared" si="24"/>
        <v>0</v>
      </c>
      <c r="Q98" s="12" t="str">
        <f t="shared" si="25"/>
        <v>Low</v>
      </c>
      <c r="R98" s="13"/>
      <c r="S98" s="13"/>
      <c r="T98" s="13"/>
      <c r="U98" s="13"/>
      <c r="V98" s="12" t="str">
        <f t="shared" si="26"/>
        <v/>
      </c>
    </row>
    <row r="99" spans="4:22" x14ac:dyDescent="0.35">
      <c r="D99" s="11"/>
      <c r="E99" s="11"/>
      <c r="F99" s="11"/>
      <c r="G99" s="11"/>
      <c r="H99" s="11"/>
      <c r="I99" s="11"/>
      <c r="J99" s="12" t="str">
        <f t="shared" si="18"/>
        <v/>
      </c>
      <c r="K99" s="12" t="str">
        <f t="shared" si="19"/>
        <v/>
      </c>
      <c r="L99" s="12" t="str">
        <f t="shared" si="20"/>
        <v/>
      </c>
      <c r="M99" s="12" t="str">
        <f t="shared" si="21"/>
        <v/>
      </c>
      <c r="N99" s="12" t="str">
        <f t="shared" si="22"/>
        <v/>
      </c>
      <c r="O99" s="12" t="str">
        <f t="shared" si="23"/>
        <v/>
      </c>
      <c r="P99" s="12">
        <f t="shared" si="24"/>
        <v>0</v>
      </c>
      <c r="Q99" s="12" t="str">
        <f t="shared" si="25"/>
        <v>Low</v>
      </c>
      <c r="R99" s="13"/>
      <c r="S99" s="13"/>
      <c r="T99" s="13"/>
      <c r="U99" s="13"/>
      <c r="V99" s="12" t="str">
        <f t="shared" si="26"/>
        <v/>
      </c>
    </row>
    <row r="100" spans="4:22" x14ac:dyDescent="0.35">
      <c r="D100" s="11"/>
      <c r="E100" s="11"/>
      <c r="F100" s="11"/>
      <c r="G100" s="11"/>
      <c r="H100" s="11"/>
      <c r="I100" s="11"/>
      <c r="J100" s="12" t="str">
        <f t="shared" si="18"/>
        <v/>
      </c>
      <c r="K100" s="12" t="str">
        <f t="shared" si="19"/>
        <v/>
      </c>
      <c r="L100" s="12" t="str">
        <f t="shared" si="20"/>
        <v/>
      </c>
      <c r="M100" s="12" t="str">
        <f t="shared" si="21"/>
        <v/>
      </c>
      <c r="N100" s="12" t="str">
        <f t="shared" si="22"/>
        <v/>
      </c>
      <c r="O100" s="12" t="str">
        <f t="shared" si="23"/>
        <v/>
      </c>
      <c r="P100" s="12">
        <f t="shared" si="24"/>
        <v>0</v>
      </c>
      <c r="Q100" s="12" t="str">
        <f t="shared" si="25"/>
        <v>Low</v>
      </c>
      <c r="R100" s="13"/>
      <c r="S100" s="13"/>
      <c r="T100" s="13"/>
      <c r="U100" s="13"/>
      <c r="V100" s="12" t="str">
        <f t="shared" si="26"/>
        <v/>
      </c>
    </row>
    <row r="101" spans="4:22" x14ac:dyDescent="0.35">
      <c r="D101" s="11"/>
      <c r="E101" s="11"/>
      <c r="F101" s="11"/>
      <c r="G101" s="11"/>
      <c r="H101" s="11"/>
      <c r="I101" s="11"/>
      <c r="J101" s="12" t="str">
        <f t="shared" si="18"/>
        <v/>
      </c>
      <c r="K101" s="12" t="str">
        <f t="shared" si="19"/>
        <v/>
      </c>
      <c r="L101" s="12" t="str">
        <f t="shared" si="20"/>
        <v/>
      </c>
      <c r="M101" s="12" t="str">
        <f t="shared" si="21"/>
        <v/>
      </c>
      <c r="N101" s="12" t="str">
        <f t="shared" si="22"/>
        <v/>
      </c>
      <c r="O101" s="12" t="str">
        <f t="shared" si="23"/>
        <v/>
      </c>
      <c r="P101" s="12">
        <f t="shared" si="24"/>
        <v>0</v>
      </c>
      <c r="Q101" s="12" t="str">
        <f t="shared" si="25"/>
        <v>Low</v>
      </c>
      <c r="R101" s="13"/>
      <c r="S101" s="13"/>
      <c r="T101" s="13"/>
      <c r="U101" s="13"/>
      <c r="V101" s="12" t="str">
        <f t="shared" si="26"/>
        <v/>
      </c>
    </row>
    <row r="102" spans="4:22" x14ac:dyDescent="0.35">
      <c r="D102" s="11"/>
      <c r="E102" s="11"/>
      <c r="F102" s="11"/>
      <c r="G102" s="11"/>
      <c r="H102" s="11"/>
      <c r="I102" s="11"/>
      <c r="J102" s="12" t="str">
        <f t="shared" si="18"/>
        <v/>
      </c>
      <c r="K102" s="12" t="str">
        <f t="shared" si="19"/>
        <v/>
      </c>
      <c r="L102" s="12" t="str">
        <f t="shared" si="20"/>
        <v/>
      </c>
      <c r="M102" s="12" t="str">
        <f t="shared" si="21"/>
        <v/>
      </c>
      <c r="N102" s="12" t="str">
        <f t="shared" si="22"/>
        <v/>
      </c>
      <c r="O102" s="12" t="str">
        <f t="shared" si="23"/>
        <v/>
      </c>
      <c r="P102" s="12">
        <f t="shared" ref="P102:P133" si="27">IF(COUNTA(J102:O102)=6,SUM(J102:O102),"")</f>
        <v>0</v>
      </c>
      <c r="Q102" s="12" t="str">
        <f t="shared" ref="Q102:Q133" si="28">IF(P102="","",IF(P102&gt;14,"High",IF(P102&gt;=8,"Medium","Low")))</f>
        <v>Low</v>
      </c>
      <c r="R102" s="13"/>
      <c r="S102" s="13"/>
      <c r="T102" s="13"/>
      <c r="U102" s="13"/>
      <c r="V102" s="12" t="str">
        <f t="shared" ref="V102:V133" si="29">IF(U102="Yes","Launched",IF(T102="Yes","SIV Pass",IF(S102="Yes","Reg Complete",IF(R102="Yes","Reg Start",""))))</f>
        <v/>
      </c>
    </row>
    <row r="103" spans="4:22" x14ac:dyDescent="0.35">
      <c r="D103" s="11"/>
      <c r="E103" s="11"/>
      <c r="F103" s="11"/>
      <c r="G103" s="11"/>
      <c r="H103" s="11"/>
      <c r="I103" s="11"/>
      <c r="J103" s="12" t="str">
        <f t="shared" si="18"/>
        <v/>
      </c>
      <c r="K103" s="12" t="str">
        <f t="shared" si="19"/>
        <v/>
      </c>
      <c r="L103" s="12" t="str">
        <f t="shared" si="20"/>
        <v/>
      </c>
      <c r="M103" s="12" t="str">
        <f t="shared" si="21"/>
        <v/>
      </c>
      <c r="N103" s="12" t="str">
        <f t="shared" si="22"/>
        <v/>
      </c>
      <c r="O103" s="12" t="str">
        <f t="shared" si="23"/>
        <v/>
      </c>
      <c r="P103" s="12">
        <f t="shared" si="27"/>
        <v>0</v>
      </c>
      <c r="Q103" s="12" t="str">
        <f t="shared" si="28"/>
        <v>Low</v>
      </c>
      <c r="R103" s="13"/>
      <c r="S103" s="13"/>
      <c r="T103" s="13"/>
      <c r="U103" s="13"/>
      <c r="V103" s="12" t="str">
        <f t="shared" si="29"/>
        <v/>
      </c>
    </row>
    <row r="104" spans="4:22" x14ac:dyDescent="0.35">
      <c r="D104" s="11"/>
      <c r="E104" s="11"/>
      <c r="F104" s="11"/>
      <c r="G104" s="11"/>
      <c r="H104" s="11"/>
      <c r="I104" s="11"/>
      <c r="J104" s="12" t="str">
        <f t="shared" si="18"/>
        <v/>
      </c>
      <c r="K104" s="12" t="str">
        <f t="shared" si="19"/>
        <v/>
      </c>
      <c r="L104" s="12" t="str">
        <f t="shared" si="20"/>
        <v/>
      </c>
      <c r="M104" s="12" t="str">
        <f t="shared" si="21"/>
        <v/>
      </c>
      <c r="N104" s="12" t="str">
        <f t="shared" si="22"/>
        <v/>
      </c>
      <c r="O104" s="12" t="str">
        <f t="shared" si="23"/>
        <v/>
      </c>
      <c r="P104" s="12">
        <f t="shared" si="27"/>
        <v>0</v>
      </c>
      <c r="Q104" s="12" t="str">
        <f t="shared" si="28"/>
        <v>Low</v>
      </c>
      <c r="R104" s="13"/>
      <c r="S104" s="13"/>
      <c r="T104" s="13"/>
      <c r="U104" s="13"/>
      <c r="V104" s="12" t="str">
        <f t="shared" si="29"/>
        <v/>
      </c>
    </row>
  </sheetData>
  <conditionalFormatting sqref="P4:P104">
    <cfRule type="cellIs" dxfId="5" priority="4" operator="greaterThan">
      <formula>14</formula>
    </cfRule>
    <cfRule type="cellIs" dxfId="4" priority="5" operator="between">
      <formula>8</formula>
      <formula>14</formula>
    </cfRule>
    <cfRule type="cellIs" dxfId="3" priority="6" operator="lessThan">
      <formula>8</formula>
    </cfRule>
  </conditionalFormatting>
  <conditionalFormatting sqref="Q4:Q104">
    <cfRule type="containsText" dxfId="2" priority="1" operator="containsText" text="High">
      <formula>NOT(ISERROR(SEARCH("High",Q4)))</formula>
    </cfRule>
    <cfRule type="containsText" dxfId="1" priority="2" operator="containsText" text="Medium">
      <formula>NOT(ISERROR(SEARCH("Medium",Q4)))</formula>
    </cfRule>
    <cfRule type="containsText" dxfId="0" priority="3" operator="containsText" text="Low">
      <formula>NOT(ISERROR(SEARCH("Low",Q4)))</formula>
    </cfRule>
  </conditionalFormatting>
  <dataValidations count="4">
    <dataValidation type="list" allowBlank="1" showInputMessage="1" showErrorMessage="1" sqref="D4:D104 R4:U104 I4:I104 F4:F104" xr:uid="{00000000-0002-0000-0000-000000000000}">
      <formula1>"Yes,No"</formula1>
    </dataValidation>
    <dataValidation type="list" allowBlank="1" showInputMessage="1" showErrorMessage="1" sqref="E4:E104" xr:uid="{00000000-0002-0000-0000-000001000000}">
      <formula1>"50+,20-50,5-20,1-5,0 / Not sure"</formula1>
    </dataValidation>
    <dataValidation type="list" allowBlank="1" showInputMessage="1" showErrorMessage="1" sqref="G4:G104" xr:uid="{00000000-0002-0000-0000-000003000000}">
      <formula1>"Electronics,Computers,Phones,Home &amp; Kitchen,Beauty,Fashion,Health,Sports,Tools,Grocery,Baby,Toys,Other"</formula1>
    </dataValidation>
    <dataValidation type="list" allowBlank="1" showInputMessage="1" showErrorMessage="1" sqref="H4:H104" xr:uid="{00000000-0002-0000-0000-000004000000}">
      <formula1>"&gt; 5M SAR,1M - 5M SAR,500K - 1M SAR,&lt; 500K 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B1:I26"/>
  <sheetViews>
    <sheetView showGridLines="0" workbookViewId="0"/>
  </sheetViews>
  <sheetFormatPr defaultRowHeight="14.5" x14ac:dyDescent="0.35"/>
  <cols>
    <col min="1" max="1" width="4.7265625" customWidth="1"/>
    <col min="2" max="2" width="6.7265625" customWidth="1"/>
    <col min="3" max="3" width="36.7265625" customWidth="1"/>
    <col min="4" max="4" width="30.7265625" customWidth="1"/>
    <col min="5" max="5" width="10.7265625" customWidth="1"/>
    <col min="6" max="6" width="4.7265625" customWidth="1"/>
    <col min="7" max="7" width="18.7265625" customWidth="1"/>
    <col min="8" max="8" width="16.7265625" customWidth="1"/>
    <col min="9" max="9" width="12.7265625" customWidth="1"/>
  </cols>
  <sheetData>
    <row r="1" spans="2:9" ht="21" x14ac:dyDescent="0.5">
      <c r="B1" s="1" t="s">
        <v>33</v>
      </c>
    </row>
    <row r="2" spans="2:9" x14ac:dyDescent="0.35">
      <c r="B2" s="14" t="s">
        <v>34</v>
      </c>
    </row>
    <row r="4" spans="2:9" x14ac:dyDescent="0.35">
      <c r="B4" s="15" t="s">
        <v>35</v>
      </c>
      <c r="C4" s="15" t="s">
        <v>36</v>
      </c>
      <c r="D4" s="15" t="s">
        <v>37</v>
      </c>
      <c r="E4" s="15" t="s">
        <v>38</v>
      </c>
      <c r="G4" s="15" t="s">
        <v>65</v>
      </c>
      <c r="H4" s="15" t="s">
        <v>66</v>
      </c>
    </row>
    <row r="5" spans="2:9" ht="17" x14ac:dyDescent="0.35">
      <c r="B5" s="16" t="s">
        <v>39</v>
      </c>
      <c r="C5" s="17" t="s">
        <v>40</v>
      </c>
      <c r="D5" s="18" t="s">
        <v>28</v>
      </c>
      <c r="E5" s="19">
        <v>3</v>
      </c>
      <c r="G5" s="20" t="s">
        <v>67</v>
      </c>
      <c r="H5" s="20" t="s">
        <v>68</v>
      </c>
    </row>
    <row r="6" spans="2:9" ht="17" x14ac:dyDescent="0.35">
      <c r="B6" s="21"/>
      <c r="C6" s="22"/>
      <c r="D6" s="23" t="s">
        <v>41</v>
      </c>
      <c r="E6" s="24">
        <v>0</v>
      </c>
      <c r="G6" s="25" t="s">
        <v>69</v>
      </c>
      <c r="H6" s="25" t="s">
        <v>70</v>
      </c>
    </row>
    <row r="7" spans="2:9" ht="17" x14ac:dyDescent="0.35">
      <c r="B7" s="16" t="s">
        <v>42</v>
      </c>
      <c r="C7" s="17" t="s">
        <v>43</v>
      </c>
      <c r="D7" s="18" t="s">
        <v>29</v>
      </c>
      <c r="E7" s="19">
        <v>4</v>
      </c>
      <c r="G7" s="26" t="s">
        <v>71</v>
      </c>
      <c r="H7" s="26" t="s">
        <v>72</v>
      </c>
    </row>
    <row r="8" spans="2:9" ht="17" x14ac:dyDescent="0.35">
      <c r="B8" s="21"/>
      <c r="C8" s="22"/>
      <c r="D8" s="23" t="s">
        <v>44</v>
      </c>
      <c r="E8" s="19">
        <v>3</v>
      </c>
    </row>
    <row r="9" spans="2:9" ht="17" x14ac:dyDescent="0.4">
      <c r="B9" s="27"/>
      <c r="C9" s="28"/>
      <c r="D9" s="18" t="s">
        <v>45</v>
      </c>
      <c r="E9" s="29">
        <v>2</v>
      </c>
      <c r="G9" s="30" t="s">
        <v>73</v>
      </c>
    </row>
    <row r="10" spans="2:9" ht="17" x14ac:dyDescent="0.35">
      <c r="B10" s="21"/>
      <c r="C10" s="22"/>
      <c r="D10" s="23" t="s">
        <v>46</v>
      </c>
      <c r="E10" s="31">
        <v>1</v>
      </c>
      <c r="G10" s="15" t="s">
        <v>74</v>
      </c>
      <c r="H10" s="15" t="s">
        <v>75</v>
      </c>
      <c r="I10" s="15" t="s">
        <v>76</v>
      </c>
    </row>
    <row r="11" spans="2:9" ht="17" x14ac:dyDescent="0.4">
      <c r="B11" s="27"/>
      <c r="C11" s="28"/>
      <c r="D11" s="18" t="s">
        <v>47</v>
      </c>
      <c r="E11" s="24">
        <v>0</v>
      </c>
      <c r="G11" s="32" t="s">
        <v>77</v>
      </c>
      <c r="H11" s="33">
        <f>COUNTA(Leads!A4:A104)-1</f>
        <v>0</v>
      </c>
    </row>
    <row r="12" spans="2:9" ht="17" x14ac:dyDescent="0.4">
      <c r="B12" s="16" t="s">
        <v>48</v>
      </c>
      <c r="C12" s="34" t="s">
        <v>49</v>
      </c>
      <c r="D12" s="23" t="s">
        <v>28</v>
      </c>
      <c r="E12" s="29">
        <v>2</v>
      </c>
      <c r="G12" s="32" t="s">
        <v>78</v>
      </c>
      <c r="H12" s="33">
        <f>COUNTIF(Leads!R4:R104,"Yes")</f>
        <v>1</v>
      </c>
      <c r="I12" s="35" t="str">
        <f>IF(H11=0,"",H12/H11)</f>
        <v/>
      </c>
    </row>
    <row r="13" spans="2:9" ht="17" x14ac:dyDescent="0.4">
      <c r="B13" s="27"/>
      <c r="C13" s="28"/>
      <c r="D13" s="18" t="s">
        <v>41</v>
      </c>
      <c r="E13" s="24">
        <v>0</v>
      </c>
      <c r="G13" s="32" t="s">
        <v>79</v>
      </c>
      <c r="H13" s="33">
        <f>COUNTIF(Leads!S4:S104,"Yes")</f>
        <v>1</v>
      </c>
      <c r="I13" s="35" t="str">
        <f>IF(H11=0,"",H13/H11)</f>
        <v/>
      </c>
    </row>
    <row r="14" spans="2:9" ht="17" x14ac:dyDescent="0.4">
      <c r="B14" s="16" t="s">
        <v>50</v>
      </c>
      <c r="C14" s="34" t="s">
        <v>51</v>
      </c>
      <c r="D14" s="23" t="s">
        <v>52</v>
      </c>
      <c r="E14" s="19">
        <v>4</v>
      </c>
      <c r="G14" s="32" t="s">
        <v>80</v>
      </c>
      <c r="H14" s="33">
        <f>COUNTIF(Leads!T4:T104,"Yes")</f>
        <v>1</v>
      </c>
      <c r="I14" s="35" t="str">
        <f>IF(H11=0,"",H14/H11)</f>
        <v/>
      </c>
    </row>
    <row r="15" spans="2:9" ht="17" x14ac:dyDescent="0.4">
      <c r="B15" s="27"/>
      <c r="C15" s="28"/>
      <c r="D15" s="18" t="s">
        <v>53</v>
      </c>
      <c r="E15" s="19">
        <v>3</v>
      </c>
      <c r="G15" s="32" t="s">
        <v>81</v>
      </c>
      <c r="H15" s="33">
        <f>COUNTIF(Leads!U4:U104,"Yes")</f>
        <v>1</v>
      </c>
      <c r="I15" s="35" t="str">
        <f>IF(H11=0,"",H15/H11)</f>
        <v/>
      </c>
    </row>
    <row r="16" spans="2:9" ht="17" x14ac:dyDescent="0.35">
      <c r="B16" s="21"/>
      <c r="C16" s="22"/>
      <c r="D16" s="23" t="s">
        <v>54</v>
      </c>
      <c r="E16" s="19">
        <v>3</v>
      </c>
    </row>
    <row r="17" spans="2:8" ht="17" x14ac:dyDescent="0.35">
      <c r="B17" s="27"/>
      <c r="C17" s="28"/>
      <c r="D17" s="18" t="s">
        <v>55</v>
      </c>
      <c r="E17" s="29">
        <v>2</v>
      </c>
      <c r="G17" s="36" t="s">
        <v>82</v>
      </c>
    </row>
    <row r="18" spans="2:8" ht="17" x14ac:dyDescent="0.35">
      <c r="B18" s="21"/>
      <c r="C18" s="22"/>
      <c r="D18" s="23" t="s">
        <v>56</v>
      </c>
      <c r="E18" s="24">
        <v>0</v>
      </c>
      <c r="G18" s="37" t="s">
        <v>83</v>
      </c>
      <c r="H18" s="38" t="s">
        <v>84</v>
      </c>
    </row>
    <row r="19" spans="2:8" ht="17" x14ac:dyDescent="0.35">
      <c r="B19" s="16" t="s">
        <v>57</v>
      </c>
      <c r="C19" s="17" t="s">
        <v>58</v>
      </c>
      <c r="D19" s="18" t="s">
        <v>31</v>
      </c>
      <c r="E19" s="19">
        <v>4</v>
      </c>
      <c r="G19" s="37" t="s">
        <v>85</v>
      </c>
      <c r="H19" s="38" t="s">
        <v>86</v>
      </c>
    </row>
    <row r="20" spans="2:8" ht="17" x14ac:dyDescent="0.35">
      <c r="B20" s="21"/>
      <c r="C20" s="22"/>
      <c r="D20" s="23" t="s">
        <v>59</v>
      </c>
      <c r="E20" s="19">
        <v>3</v>
      </c>
      <c r="G20" s="37" t="s">
        <v>87</v>
      </c>
      <c r="H20" s="38" t="s">
        <v>88</v>
      </c>
    </row>
    <row r="21" spans="2:8" ht="17" x14ac:dyDescent="0.35">
      <c r="B21" s="27"/>
      <c r="C21" s="28"/>
      <c r="D21" s="18" t="s">
        <v>60</v>
      </c>
      <c r="E21" s="29">
        <v>2</v>
      </c>
      <c r="G21" s="37" t="s">
        <v>89</v>
      </c>
      <c r="H21" s="38" t="s">
        <v>90</v>
      </c>
    </row>
    <row r="22" spans="2:8" ht="17" x14ac:dyDescent="0.35">
      <c r="B22" s="21"/>
      <c r="C22" s="22"/>
      <c r="D22" s="23" t="s">
        <v>61</v>
      </c>
      <c r="E22" s="24">
        <v>0</v>
      </c>
      <c r="G22" s="37" t="s">
        <v>91</v>
      </c>
      <c r="H22" s="38" t="s">
        <v>92</v>
      </c>
    </row>
    <row r="23" spans="2:8" ht="17" x14ac:dyDescent="0.35">
      <c r="B23" s="16" t="s">
        <v>62</v>
      </c>
      <c r="C23" s="17" t="s">
        <v>63</v>
      </c>
      <c r="D23" s="18" t="s">
        <v>28</v>
      </c>
      <c r="E23" s="19">
        <v>3</v>
      </c>
      <c r="G23" s="37" t="s">
        <v>93</v>
      </c>
      <c r="H23" s="38" t="s">
        <v>84</v>
      </c>
    </row>
    <row r="24" spans="2:8" ht="17" x14ac:dyDescent="0.35">
      <c r="B24" s="21"/>
      <c r="C24" s="22"/>
      <c r="D24" s="23" t="s">
        <v>41</v>
      </c>
      <c r="E24" s="24">
        <v>0</v>
      </c>
      <c r="G24" s="39" t="s">
        <v>94</v>
      </c>
      <c r="H24" s="40" t="s">
        <v>95</v>
      </c>
    </row>
    <row r="26" spans="2:8" ht="21" x14ac:dyDescent="0.5">
      <c r="C26" s="41" t="s">
        <v>64</v>
      </c>
      <c r="E26" s="4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Scoring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Shahrour, Bassam</cp:lastModifiedBy>
  <dcterms:created xsi:type="dcterms:W3CDTF">2026-09-30T07:41:13Z</dcterms:created>
  <dcterms:modified xsi:type="dcterms:W3CDTF">2026-09-30T07:43:33Z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2026-09-30T07:43:33Z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47ca3cd2-efd3-4464-8bdc-115aa2df3523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